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featurePropertyBag/featurePropertyBag.xml" ContentType="application/vnd.ms-excel.featurepropertyba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ansd\DEER_EAT_CHAIN\DEC\DEEREATCHAIN\assets\"/>
    </mc:Choice>
  </mc:AlternateContent>
  <xr:revisionPtr revIDLastSave="0" documentId="13_ncr:1_{56BC2080-8D4C-4E0F-9AAB-4A34C6B0F73E}" xr6:coauthVersionLast="47" xr6:coauthVersionMax="47" xr10:uidLastSave="{00000000-0000-0000-0000-000000000000}"/>
  <bookViews>
    <workbookView xWindow="-120" yWindow="-120" windowWidth="38640" windowHeight="15720" activeTab="11" xr2:uid="{0CD5DF45-6BC9-4CC8-86D8-D78AF11B2425}"/>
  </bookViews>
  <sheets>
    <sheet name="README" sheetId="9" r:id="rId1"/>
    <sheet name="CALC" sheetId="8" r:id="rId2"/>
    <sheet name="LED Tape Data" sheetId="3" r:id="rId3"/>
    <sheet name="PSU Data" sheetId="4" r:id="rId4"/>
    <sheet name="CTRLR Data" sheetId="5" r:id="rId5"/>
    <sheet name="Sheet4" sheetId="16" r:id="rId6"/>
    <sheet name="GEN Data" sheetId="10" r:id="rId7"/>
    <sheet name="led_tape.drop" sheetId="2" r:id="rId8"/>
    <sheet name="psu_data.drop" sheetId="6" r:id="rId9"/>
    <sheet name="ctrlr.drop" sheetId="7" r:id="rId10"/>
    <sheet name="gen_db.drop" sheetId="11" r:id="rId11"/>
    <sheet name="led_py_db" sheetId="12" r:id="rId12"/>
    <sheet name="psu_py_db" sheetId="14" r:id="rId13"/>
    <sheet name="ctrlr_py_db" sheetId="15" r:id="rId14"/>
  </sheets>
  <definedNames>
    <definedName name="ExternalData_1" localSheetId="2" hidden="1">'LED Tape Data'!$A$1:$AI$59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2FF91C-D533-4846-92DC-D36B18E6C6E6}" keepAlive="1" name="Query - Table2" description="Connection to the 'Table2' query in the workbook." type="5" refreshedVersion="8" background="1" saveData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<sst xmlns="http://schemas.openxmlformats.org/spreadsheetml/2006/main" count="588" uniqueCount="363">
  <si>
    <t>Product Name</t>
  </si>
  <si>
    <t>Manufacturer</t>
  </si>
  <si>
    <t>Product Number</t>
  </si>
  <si>
    <t>Input Voltage</t>
  </si>
  <si>
    <t>Watts/ft</t>
  </si>
  <si>
    <t>Watts/m</t>
  </si>
  <si>
    <t>m/Roll</t>
  </si>
  <si>
    <t>Price</t>
  </si>
  <si>
    <t>UL Listed</t>
  </si>
  <si>
    <t>UL Recognized</t>
  </si>
  <si>
    <t>Prod. Line</t>
  </si>
  <si>
    <t>Finish Color</t>
  </si>
  <si>
    <t>Cut Len(mm)</t>
  </si>
  <si>
    <t>Cut Len(in)</t>
  </si>
  <si>
    <t>Accessories</t>
  </si>
  <si>
    <t>Width</t>
  </si>
  <si>
    <t>Shape</t>
  </si>
  <si>
    <t>Diffusion</t>
  </si>
  <si>
    <t>View Angle</t>
  </si>
  <si>
    <t>Bend Direction</t>
  </si>
  <si>
    <t>URL</t>
  </si>
  <si>
    <t>Datasheet</t>
  </si>
  <si>
    <t>Cert.# / URL</t>
  </si>
  <si>
    <t>CRI</t>
  </si>
  <si>
    <t>CCT</t>
  </si>
  <si>
    <t>Brightness</t>
  </si>
  <si>
    <t>Protocol</t>
  </si>
  <si>
    <t>Wire Code</t>
  </si>
  <si>
    <t>LED Colors</t>
  </si>
  <si>
    <t>IP-Rating</t>
  </si>
  <si>
    <t>PSU</t>
  </si>
  <si>
    <t>LWH</t>
  </si>
  <si>
    <t>Environmental Lighting</t>
  </si>
  <si>
    <t>MossLED</t>
  </si>
  <si>
    <t>CityTheatrical</t>
  </si>
  <si>
    <t>Insight</t>
  </si>
  <si>
    <t>Color Kinetics</t>
  </si>
  <si>
    <t>Enntec</t>
  </si>
  <si>
    <t>Chauvet</t>
  </si>
  <si>
    <t>TMB</t>
  </si>
  <si>
    <t>Glasson</t>
  </si>
  <si>
    <t>Eluxtra</t>
  </si>
  <si>
    <t>Co-Pilot</t>
  </si>
  <si>
    <t>2200K</t>
  </si>
  <si>
    <t>2700K</t>
  </si>
  <si>
    <t>3000K</t>
  </si>
  <si>
    <t>3200K</t>
  </si>
  <si>
    <t>4000K</t>
  </si>
  <si>
    <t>5000K</t>
  </si>
  <si>
    <t>6500K</t>
  </si>
  <si>
    <t>12V</t>
  </si>
  <si>
    <t>5V</t>
  </si>
  <si>
    <t>24V</t>
  </si>
  <si>
    <t>Voltage</t>
  </si>
  <si>
    <t>PixPitch</t>
  </si>
  <si>
    <t>ft/Roll</t>
  </si>
  <si>
    <t>Ch/Roll</t>
  </si>
  <si>
    <t>Pix/Roll</t>
  </si>
  <si>
    <t>LED PRODUCT :</t>
  </si>
  <si>
    <t>Section #</t>
  </si>
  <si>
    <t>Section Name</t>
  </si>
  <si>
    <t>Length</t>
  </si>
  <si>
    <t>Section Watts</t>
  </si>
  <si>
    <t>│</t>
  </si>
  <si>
    <t>┌</t>
  </si>
  <si>
    <t>┐</t>
  </si>
  <si>
    <t>└</t>
  </si>
  <si>
    <t>┘</t>
  </si>
  <si>
    <t>End ∞ Start</t>
  </si>
  <si>
    <t>Environmental</t>
  </si>
  <si>
    <t>TW</t>
  </si>
  <si>
    <t>R</t>
  </si>
  <si>
    <t>G</t>
  </si>
  <si>
    <t>B</t>
  </si>
  <si>
    <t>A</t>
  </si>
  <si>
    <t>W</t>
  </si>
  <si>
    <t>RGB</t>
  </si>
  <si>
    <t>RGBA</t>
  </si>
  <si>
    <t>RGBW</t>
  </si>
  <si>
    <t>RGBAW</t>
  </si>
  <si>
    <t>Black</t>
  </si>
  <si>
    <t>White</t>
  </si>
  <si>
    <t>Tan</t>
  </si>
  <si>
    <t>Clear</t>
  </si>
  <si>
    <t>IP20</t>
  </si>
  <si>
    <t>IP44</t>
  </si>
  <si>
    <t>IP65</t>
  </si>
  <si>
    <t>IP66</t>
  </si>
  <si>
    <t>IP67</t>
  </si>
  <si>
    <t>IP68</t>
  </si>
  <si>
    <t>Yes</t>
  </si>
  <si>
    <t>No</t>
  </si>
  <si>
    <t>DMX512</t>
  </si>
  <si>
    <t>WS2811</t>
  </si>
  <si>
    <t>SK6812</t>
  </si>
  <si>
    <t>WS2812</t>
  </si>
  <si>
    <t>WS2812B</t>
  </si>
  <si>
    <t>WS2813</t>
  </si>
  <si>
    <t>WS2815</t>
  </si>
  <si>
    <t>UCS1903</t>
  </si>
  <si>
    <t>UCS2903</t>
  </si>
  <si>
    <t>UCS2904</t>
  </si>
  <si>
    <t>GS8208B</t>
  </si>
  <si>
    <t>UCS8903</t>
  </si>
  <si>
    <t>UCS8904</t>
  </si>
  <si>
    <t>WS2814</t>
  </si>
  <si>
    <t>GEN</t>
  </si>
  <si>
    <t>Y</t>
  </si>
  <si>
    <t>X</t>
  </si>
  <si>
    <t>Z</t>
  </si>
  <si>
    <t>+</t>
  </si>
  <si>
    <t>-</t>
  </si>
  <si>
    <t>d</t>
  </si>
  <si>
    <t>c</t>
  </si>
  <si>
    <t>Wire</t>
  </si>
  <si>
    <t>Value</t>
  </si>
  <si>
    <t>Column1</t>
  </si>
  <si>
    <t>Horizontal</t>
  </si>
  <si>
    <t>Vertical</t>
  </si>
  <si>
    <t>Straight</t>
  </si>
  <si>
    <t>Horiz. + Vert.</t>
  </si>
  <si>
    <t>Direct</t>
  </si>
  <si>
    <t>Indirect</t>
  </si>
  <si>
    <t>60-79</t>
  </si>
  <si>
    <t>80-89</t>
  </si>
  <si>
    <t>90-95</t>
  </si>
  <si>
    <t>95-100</t>
  </si>
  <si>
    <t>None</t>
  </si>
  <si>
    <t>Frosted</t>
  </si>
  <si>
    <t>Milk</t>
  </si>
  <si>
    <t>Standard</t>
  </si>
  <si>
    <t>Wide Top</t>
  </si>
  <si>
    <t>Domed</t>
  </si>
  <si>
    <t>Square Neon</t>
  </si>
  <si>
    <t>5mm</t>
  </si>
  <si>
    <t>6mm</t>
  </si>
  <si>
    <t>7mm</t>
  </si>
  <si>
    <t>8mm</t>
  </si>
  <si>
    <t>9mm</t>
  </si>
  <si>
    <t>10mm</t>
  </si>
  <si>
    <t>11mm</t>
  </si>
  <si>
    <t>12mm</t>
  </si>
  <si>
    <t>13mm</t>
  </si>
  <si>
    <t>14mm</t>
  </si>
  <si>
    <t>15mm</t>
  </si>
  <si>
    <t>16mm</t>
  </si>
  <si>
    <t>17mm</t>
  </si>
  <si>
    <t>18mm</t>
  </si>
  <si>
    <t>19mm</t>
  </si>
  <si>
    <t>20mm</t>
  </si>
  <si>
    <t>21mm</t>
  </si>
  <si>
    <t>22mm</t>
  </si>
  <si>
    <t>23mm</t>
  </si>
  <si>
    <t>24mm</t>
  </si>
  <si>
    <t>25mm</t>
  </si>
  <si>
    <t>60/m</t>
  </si>
  <si>
    <t>30/m</t>
  </si>
  <si>
    <t>42/m</t>
  </si>
  <si>
    <t>48/m</t>
  </si>
  <si>
    <t>72/m</t>
  </si>
  <si>
    <t>96/m</t>
  </si>
  <si>
    <t>120/m</t>
  </si>
  <si>
    <t>144/m</t>
  </si>
  <si>
    <t>240/m</t>
  </si>
  <si>
    <t>Cont./m</t>
  </si>
  <si>
    <t>LED Pitch/m</t>
  </si>
  <si>
    <t>Pix Per LED</t>
  </si>
  <si>
    <t>Acuity</t>
  </si>
  <si>
    <t>RED [R]</t>
  </si>
  <si>
    <t>GREEN [G]</t>
  </si>
  <si>
    <t>BLUE [B]</t>
  </si>
  <si>
    <t>WHITE [W]</t>
  </si>
  <si>
    <t>BLACK [X]</t>
  </si>
  <si>
    <t>YELLOW [Y]</t>
  </si>
  <si>
    <t>BROWN [Z]</t>
  </si>
  <si>
    <t>V+ [+]</t>
  </si>
  <si>
    <t>Red [r]</t>
  </si>
  <si>
    <t>Blue [b]</t>
  </si>
  <si>
    <t>Green [g]</t>
  </si>
  <si>
    <t>Amber [a]</t>
  </si>
  <si>
    <t>White [w]</t>
  </si>
  <si>
    <t>Indigo [i]</t>
  </si>
  <si>
    <t>Lime [e]</t>
  </si>
  <si>
    <t>UV [u]</t>
  </si>
  <si>
    <t>V- [-]</t>
  </si>
  <si>
    <t>X+,Rr,Gg,Bb</t>
  </si>
  <si>
    <t>X+,Rr,Gg,Bb,Aa</t>
  </si>
  <si>
    <t>X+,Rr,Gg,Bb,Aa,Ww</t>
  </si>
  <si>
    <t>Data1 [1]</t>
  </si>
  <si>
    <t>Data2 [2]</t>
  </si>
  <si>
    <t>CLK [c]</t>
  </si>
  <si>
    <t>X+,G1,R2,B-</t>
  </si>
  <si>
    <t>R+,B-</t>
  </si>
  <si>
    <t>R+,X-</t>
  </si>
  <si>
    <t>W+,W-</t>
  </si>
  <si>
    <t>Z+,Y1,W-</t>
  </si>
  <si>
    <t>11.5mm</t>
  </si>
  <si>
    <t>LED</t>
  </si>
  <si>
    <t>CTRL</t>
  </si>
  <si>
    <t>Output Voltage</t>
  </si>
  <si>
    <t>Name</t>
  </si>
  <si>
    <t>PN</t>
  </si>
  <si>
    <t>Watts</t>
  </si>
  <si>
    <t>A @ V</t>
  </si>
  <si>
    <t>Dimming</t>
  </si>
  <si>
    <t>Height</t>
  </si>
  <si>
    <t>Alt. URL</t>
  </si>
  <si>
    <t>Comments</t>
  </si>
  <si>
    <t>Class</t>
  </si>
  <si>
    <t>Meanwell</t>
  </si>
  <si>
    <t>120v</t>
  </si>
  <si>
    <t>120-240v</t>
  </si>
  <si>
    <t>120v ONLY</t>
  </si>
  <si>
    <t>240v ONLY</t>
  </si>
  <si>
    <t>5v</t>
  </si>
  <si>
    <t>12v</t>
  </si>
  <si>
    <t>24v</t>
  </si>
  <si>
    <t>48v</t>
  </si>
  <si>
    <t>Model</t>
  </si>
  <si>
    <t>VIN</t>
  </si>
  <si>
    <t>VOUT</t>
  </si>
  <si>
    <t>Amp/Port</t>
  </si>
  <si>
    <t>Fused</t>
  </si>
  <si>
    <t>CTRL Chan.</t>
  </si>
  <si>
    <t>Pixels/Out</t>
  </si>
  <si>
    <t>Output #</t>
  </si>
  <si>
    <t>Type</t>
  </si>
  <si>
    <t>CTRL Type</t>
  </si>
  <si>
    <t>DataIN</t>
  </si>
  <si>
    <t>Mounting</t>
  </si>
  <si>
    <t>Advatek</t>
  </si>
  <si>
    <t>MOSSLED</t>
  </si>
  <si>
    <t>S4i</t>
  </si>
  <si>
    <t>ETC</t>
  </si>
  <si>
    <t>Elation</t>
  </si>
  <si>
    <t>Madrix</t>
  </si>
  <si>
    <t>Strand</t>
  </si>
  <si>
    <t>Pathway</t>
  </si>
  <si>
    <t>CueServer</t>
  </si>
  <si>
    <t>Astera</t>
  </si>
  <si>
    <t>240v</t>
  </si>
  <si>
    <t>POE (&lt;15.4W)</t>
  </si>
  <si>
    <t>POE+ (&lt;30W)</t>
  </si>
  <si>
    <t>POE++ (100W)</t>
  </si>
  <si>
    <t>POE (52v)</t>
  </si>
  <si>
    <t>Expandable Ch.</t>
  </si>
  <si>
    <t>PWM</t>
  </si>
  <si>
    <t>DMX</t>
  </si>
  <si>
    <t>PIXEL</t>
  </si>
  <si>
    <t>NETW</t>
  </si>
  <si>
    <t>sACN</t>
  </si>
  <si>
    <t>Art-Net</t>
  </si>
  <si>
    <t>SPI</t>
  </si>
  <si>
    <t>Cont. Close.</t>
  </si>
  <si>
    <t>Surface</t>
  </si>
  <si>
    <t>DIN RAIL</t>
  </si>
  <si>
    <t>Hardware</t>
  </si>
  <si>
    <t>0-10v</t>
  </si>
  <si>
    <t>Pack Q.</t>
  </si>
  <si>
    <t>Description</t>
  </si>
  <si>
    <t>Terminal</t>
  </si>
  <si>
    <t>Connector</t>
  </si>
  <si>
    <t>Receptacle</t>
  </si>
  <si>
    <t>Net Line</t>
  </si>
  <si>
    <t>Audio Visual</t>
  </si>
  <si>
    <t>Generic</t>
  </si>
  <si>
    <t>Netgear</t>
  </si>
  <si>
    <t>Cisco</t>
  </si>
  <si>
    <t>Slot</t>
  </si>
  <si>
    <t>Column3</t>
  </si>
  <si>
    <t>Column4</t>
  </si>
  <si>
    <t>[EQTypes]</t>
  </si>
  <si>
    <t>Selected Type</t>
  </si>
  <si>
    <t>DataList Col</t>
  </si>
  <si>
    <t>Selection Col</t>
  </si>
  <si>
    <t>Calculated Col</t>
  </si>
  <si>
    <t>User Entry Col</t>
  </si>
  <si>
    <t>COLUMN TYPE STANDARD</t>
  </si>
  <si>
    <t>PSU_PN</t>
  </si>
  <si>
    <t>PSU_Name</t>
  </si>
  <si>
    <t>100mm</t>
  </si>
  <si>
    <t>50mm</t>
  </si>
  <si>
    <t>XLG</t>
  </si>
  <si>
    <t>HLG</t>
  </si>
  <si>
    <t>IRM</t>
  </si>
  <si>
    <t>https://led.meanwell.com/outdoor-lighting/XLG/index.aspx</t>
  </si>
  <si>
    <t>https://www.meanwell.com/Upload/PDF/XLG-100/XLG-100-spec.pdf</t>
  </si>
  <si>
    <t>Test PSU Entry DO NOT DELETE</t>
  </si>
  <si>
    <t>LongRange</t>
  </si>
  <si>
    <t>Advatek LR RX</t>
  </si>
  <si>
    <t>R1F-S</t>
  </si>
  <si>
    <t>THRU</t>
  </si>
  <si>
    <t>https://www.advateklighting.com/products/r1f-s</t>
  </si>
  <si>
    <t>https://cdn.sanity.io/files/3y31615s/production/22c5557e5fbb62a80d9ad7f88eb042c43b5af3c9.pdf</t>
  </si>
  <si>
    <t>Advatek LR</t>
  </si>
  <si>
    <t>DIN Mount</t>
  </si>
  <si>
    <t>CTRLR Test Entry DO NOT DELETE</t>
  </si>
  <si>
    <t>Eluxtra™ ProFlex PixelControl 4-in-1 Wide Top LED Neon - RGB+3000K</t>
  </si>
  <si>
    <t>RGB+6.5k</t>
  </si>
  <si>
    <t>RGB+3k+6.5k</t>
  </si>
  <si>
    <t>RGB+3k</t>
  </si>
  <si>
    <t>PLNW-PF-RGB30K-10m</t>
  </si>
  <si>
    <t>56/m</t>
  </si>
  <si>
    <t>Price Date</t>
  </si>
  <si>
    <t>125mm</t>
  </si>
  <si>
    <t>4.92in</t>
  </si>
  <si>
    <t>Heavy</t>
  </si>
  <si>
    <t>Light</t>
  </si>
  <si>
    <t>90°</t>
  </si>
  <si>
    <t>12°</t>
  </si>
  <si>
    <t>130°</t>
  </si>
  <si>
    <t>135°</t>
  </si>
  <si>
    <t>175°</t>
  </si>
  <si>
    <t>140°</t>
  </si>
  <si>
    <t>145°</t>
  </si>
  <si>
    <t>150°</t>
  </si>
  <si>
    <t>155°</t>
  </si>
  <si>
    <t>160°</t>
  </si>
  <si>
    <t>165°</t>
  </si>
  <si>
    <t>170°</t>
  </si>
  <si>
    <t>180°</t>
  </si>
  <si>
    <t>Narrow</t>
  </si>
  <si>
    <t>Wide</t>
  </si>
  <si>
    <t>50/120/30/130</t>
  </si>
  <si>
    <t>10m</t>
  </si>
  <si>
    <t>29mm</t>
  </si>
  <si>
    <t>R+,Y1,X-</t>
  </si>
  <si>
    <t>-Wire Color Ref-</t>
  </si>
  <si>
    <t>https://www.environmentallights.com/20914-plnw-pf-rgb30k-10m.html</t>
  </si>
  <si>
    <t>https://www.environmentallights.com/media/files/documents/PLNW-PF-RGBXXK-Xm-Spec-Sheet.pdf</t>
  </si>
  <si>
    <t>https://www.environmentallights.com/media/files/documents/E345867-20130923-CertificateofCompliance.pdf</t>
  </si>
  <si>
    <t>Watt/m</t>
  </si>
  <si>
    <t>Watt/ft</t>
  </si>
  <si>
    <t>M/Roll</t>
  </si>
  <si>
    <t>LED/m</t>
  </si>
  <si>
    <t>Cut Length (mm)</t>
  </si>
  <si>
    <t>Cut Length (in)</t>
  </si>
  <si>
    <t>Wire Color Code</t>
  </si>
  <si>
    <t>Certification URL</t>
  </si>
  <si>
    <t>IP Rating</t>
  </si>
  <si>
    <t>Finish</t>
  </si>
  <si>
    <t>Wattage</t>
  </si>
  <si>
    <t>Amps</t>
  </si>
  <si>
    <t>Efficiency</t>
  </si>
  <si>
    <t>Amps / Port</t>
  </si>
  <si>
    <t>Channels</t>
  </si>
  <si>
    <t>Pixels / Output</t>
  </si>
  <si>
    <t>Outputs</t>
  </si>
  <si>
    <t>DIN</t>
  </si>
  <si>
    <t>DOUT</t>
  </si>
  <si>
    <t>Unit Qty</t>
  </si>
  <si>
    <t>Lithonia</t>
  </si>
  <si>
    <t>Practical</t>
  </si>
  <si>
    <t>Lithonia Lighting 2x2 Lensed LED Troffer Light</t>
  </si>
  <si>
    <t xml:space="preserve">Drop Tile 2'x2' 120v Troffer </t>
  </si>
  <si>
    <t>2GTL-LED</t>
  </si>
  <si>
    <t>Stoc 2'x2' Troffer Light</t>
  </si>
  <si>
    <t>NA</t>
  </si>
  <si>
    <t>https://www.amazon.com/dp/B01IKQ3IFE/ref=sspa_dk_detail_1?pd_rd_i=B01IKQ3IFE&amp;pd_rd_w=f11Se&amp;content-id=amzn1.sym.386c274b-4bfe-4421-9052-a1a56db557ab&amp;pf_rd_p=386c274b-4bfe-4421-9052-a1a56db557ab&amp;pf_rd_r=A41ENAV99TAPTAFAVHKB&amp;pd_rd_wg=Inh8w&amp;pd_rd_r=8057bfea-010e-4486-b28c-50630951e34c&amp;sp_csd=d2lkZ2V0TmFtZT1zcF9kZXRhaWxfdGhlbWF0aWM&amp;th=1</t>
  </si>
  <si>
    <t>Pixel Pitch (m)</t>
  </si>
  <si>
    <t>Tape Width (mm)</t>
  </si>
  <si>
    <t>Lumens (m)</t>
  </si>
  <si>
    <t>Lumens (ft)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</si>
</sst>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8" formatCode="&quot;$&quot;#,##0.00_);[Red]\(&quot;$&quot;#,##0.00\)"/>
  </numFmts>
  <fonts count="1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6" tint="0.39994506668294322"/>
      <name val="Aptos Display"/>
      <family val="2"/>
      <scheme val="major"/>
    </font>
    <font>
      <b/>
      <sz val="11"/>
      <color theme="8" tint="0.39994506668294322"/>
      <name val="Aptos Display"/>
      <family val="2"/>
      <scheme val="major"/>
    </font>
    <font>
      <b/>
      <sz val="11"/>
      <color theme="5"/>
      <name val="Aptos Display"/>
      <family val="2"/>
      <scheme val="major"/>
    </font>
    <font>
      <b/>
      <sz val="11"/>
      <color theme="7"/>
      <name val="Aptos Display"/>
      <family val="2"/>
      <scheme val="major"/>
    </font>
    <font>
      <b/>
      <sz val="11"/>
      <color theme="7" tint="-0.499984740745262"/>
      <name val="Aptos Display"/>
      <family val="2"/>
      <scheme val="major"/>
    </font>
    <font>
      <b/>
      <sz val="11"/>
      <color theme="2" tint="-0.24994659260841701"/>
      <name val="Aptos Display"/>
      <family val="2"/>
      <scheme val="major"/>
    </font>
    <font>
      <u/>
      <sz val="11"/>
      <color theme="10"/>
      <name val="Aptos Narrow"/>
      <family val="2"/>
      <scheme val="minor"/>
    </font>
    <font>
      <b/>
      <sz val="11"/>
      <color rgb="FF7030A0"/>
      <name val="Aptos Display"/>
      <family val="2"/>
      <scheme val="major"/>
    </font>
    <font>
      <u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ck">
        <color theme="8" tint="0.39994506668294322"/>
      </top>
      <bottom style="thick">
        <color theme="8" tint="0.39994506668294322"/>
      </bottom>
      <diagonal/>
    </border>
    <border>
      <left/>
      <right/>
      <top style="thick">
        <color theme="5"/>
      </top>
      <bottom style="thick">
        <color theme="5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/>
      <top style="thick">
        <color theme="7"/>
      </top>
      <bottom style="thick">
        <color theme="7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ck">
        <color theme="7" tint="-0.499984740745262"/>
      </top>
      <bottom style="thick">
        <color theme="7" tint="-0.499984740745262"/>
      </bottom>
      <diagonal/>
    </border>
    <border>
      <left/>
      <right/>
      <top style="thick">
        <color theme="2" tint="-0.499984740745262"/>
      </top>
      <bottom style="thick">
        <color theme="2" tint="-0.499984740745262"/>
      </bottom>
      <diagonal/>
    </border>
    <border>
      <left/>
      <right/>
      <top style="thick">
        <color rgb="FF7030A0"/>
      </top>
      <bottom style="thick">
        <color rgb="FF7030A0"/>
      </bottom>
      <diagonal/>
    </border>
  </borders>
  <cellStyleXfs count="9">
    <xf numFmtId="0" fontId="0" fillId="0" borderId="0"/>
    <xf numFmtId="0" fontId="8" fillId="6" borderId="26">
      <alignment horizontal="center" vertical="center"/>
    </xf>
    <xf numFmtId="0" fontId="5" fillId="6" borderId="25">
      <alignment horizontal="center" vertical="center"/>
    </xf>
    <xf numFmtId="0" fontId="6" fillId="6" borderId="23">
      <alignment horizontal="center" vertical="center"/>
    </xf>
    <xf numFmtId="0" fontId="7" fillId="6" borderId="24">
      <alignment horizontal="center" vertical="center"/>
    </xf>
    <xf numFmtId="0" fontId="9" fillId="6" borderId="32">
      <alignment horizontal="center" vertical="center"/>
    </xf>
    <xf numFmtId="0" fontId="10" fillId="6" borderId="33">
      <alignment horizontal="center" vertical="center"/>
    </xf>
    <xf numFmtId="0" fontId="11" fillId="0" borderId="0" applyNumberFormat="0" applyFill="0" applyBorder="0" applyAlignment="0" applyProtection="0"/>
    <xf numFmtId="0" fontId="12" fillId="6" borderId="34">
      <alignment horizontal="center" vertical="center"/>
    </xf>
  </cellStyleXfs>
  <cellXfs count="67">
    <xf numFmtId="0" fontId="0" fillId="0" borderId="0" xfId="0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" xfId="0" applyBorder="1"/>
    <xf numFmtId="0" fontId="0" fillId="0" borderId="17" xfId="0" applyBorder="1"/>
    <xf numFmtId="0" fontId="3" fillId="2" borderId="14" xfId="0" applyFont="1" applyFill="1" applyBorder="1"/>
    <xf numFmtId="0" fontId="3" fillId="2" borderId="1" xfId="0" applyFont="1" applyFill="1" applyBorder="1"/>
    <xf numFmtId="0" fontId="3" fillId="2" borderId="3" xfId="0" applyFont="1" applyFill="1" applyBorder="1"/>
    <xf numFmtId="0" fontId="3" fillId="2" borderId="2" xfId="0" applyFon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0" xfId="0" applyFill="1"/>
    <xf numFmtId="0" fontId="0" fillId="0" borderId="18" xfId="0" applyBorder="1"/>
    <xf numFmtId="0" fontId="4" fillId="0" borderId="0" xfId="0" applyFont="1"/>
    <xf numFmtId="0" fontId="0" fillId="0" borderId="0" xfId="0" applyAlignment="1">
      <alignment horizontal="center"/>
    </xf>
    <xf numFmtId="0" fontId="0" fillId="0" borderId="13" xfId="0" applyBorder="1" applyAlignment="1">
      <alignment horizontal="left"/>
    </xf>
    <xf numFmtId="0" fontId="0" fillId="5" borderId="13" xfId="0" applyFill="1" applyBorder="1"/>
    <xf numFmtId="0" fontId="0" fillId="3" borderId="19" xfId="0" applyFill="1" applyBorder="1"/>
    <xf numFmtId="0" fontId="0" fillId="3" borderId="20" xfId="0" applyFill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8" fillId="6" borderId="26" xfId="1">
      <alignment horizontal="center" vertical="center"/>
    </xf>
    <xf numFmtId="0" fontId="5" fillId="6" borderId="25" xfId="2">
      <alignment horizontal="center" vertical="center"/>
    </xf>
    <xf numFmtId="0" fontId="6" fillId="6" borderId="23" xfId="3">
      <alignment horizontal="center" vertical="center"/>
    </xf>
    <xf numFmtId="0" fontId="7" fillId="6" borderId="24" xfId="4">
      <alignment horizontal="center" vertical="center"/>
    </xf>
    <xf numFmtId="0" fontId="0" fillId="0" borderId="31" xfId="0" applyBorder="1"/>
    <xf numFmtId="0" fontId="0" fillId="0" borderId="30" xfId="0" applyBorder="1"/>
    <xf numFmtId="0" fontId="9" fillId="6" borderId="32" xfId="5">
      <alignment horizontal="center" vertical="center"/>
    </xf>
    <xf numFmtId="0" fontId="10" fillId="6" borderId="33" xfId="6">
      <alignment horizontal="center" vertical="center"/>
    </xf>
    <xf numFmtId="0" fontId="5" fillId="6" borderId="25" xfId="2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6" borderId="26" xfId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12" xfId="0" applyNumberFormat="1" applyBorder="1"/>
    <xf numFmtId="22" fontId="0" fillId="4" borderId="12" xfId="0" applyNumberFormat="1" applyFill="1" applyBorder="1"/>
    <xf numFmtId="22" fontId="0" fillId="0" borderId="13" xfId="0" applyNumberFormat="1" applyBorder="1"/>
    <xf numFmtId="22" fontId="0" fillId="4" borderId="13" xfId="0" applyNumberFormat="1" applyFill="1" applyBorder="1"/>
    <xf numFmtId="0" fontId="11" fillId="0" borderId="0" xfId="7"/>
    <xf numFmtId="6" fontId="0" fillId="0" borderId="0" xfId="0" applyNumberFormat="1"/>
    <xf numFmtId="22" fontId="0" fillId="5" borderId="13" xfId="0" applyNumberFormat="1" applyFill="1" applyBorder="1"/>
    <xf numFmtId="22" fontId="0" fillId="0" borderId="0" xfId="0" applyNumberFormat="1"/>
    <xf numFmtId="8" fontId="0" fillId="0" borderId="0" xfId="0" applyNumberFormat="1"/>
    <xf numFmtId="0" fontId="0" fillId="0" borderId="0" xfId="0" quotePrefix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2" fillId="6" borderId="34" xfId="8">
      <alignment horizontal="center" vertical="center"/>
    </xf>
    <xf numFmtId="22" fontId="7" fillId="6" borderId="24" xfId="4" applyNumberFormat="1">
      <alignment horizontal="center" vertical="center"/>
    </xf>
    <xf numFmtId="22" fontId="12" fillId="6" borderId="34" xfId="8" applyNumberFormat="1">
      <alignment horizontal="center" vertical="center"/>
    </xf>
    <xf numFmtId="22" fontId="0" fillId="0" borderId="0" xfId="0" applyNumberFormat="1" applyAlignment="1">
      <alignment horizontal="center"/>
    </xf>
    <xf numFmtId="0" fontId="1" fillId="6" borderId="27" xfId="0" applyFont="1" applyFill="1" applyBorder="1" applyAlignment="1">
      <alignment horizontal="center" vertical="center"/>
    </xf>
    <xf numFmtId="0" fontId="1" fillId="6" borderId="28" xfId="0" applyFont="1" applyFill="1" applyBorder="1" applyAlignment="1">
      <alignment horizontal="center" vertical="center"/>
    </xf>
    <xf numFmtId="0" fontId="1" fillId="6" borderId="29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6" borderId="31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13" fillId="0" borderId="0" xfId="0" applyFont="1"/>
  </cellXfs>
  <cellStyles count="9">
    <cellStyle name="Calculated" xfId="3" xr:uid="{D579983E-E61F-4445-9204-0A90F59F511A}"/>
    <cellStyle name="Comments" xfId="6" xr:uid="{E91190CF-899B-4FB7-A942-E50A475437EF}"/>
    <cellStyle name="DataList" xfId="1" xr:uid="{146D2C34-175B-4C1A-AACE-913D4CAF9A81}"/>
    <cellStyle name="Entry" xfId="4" xr:uid="{B7FD5643-D17A-463C-883A-A8B2CCCB050A}"/>
    <cellStyle name="Hyperlink" xfId="7" builtinId="8"/>
    <cellStyle name="Normal" xfId="0" builtinId="0"/>
    <cellStyle name="Selection" xfId="2" xr:uid="{66368BD1-63F2-4BD5-BE86-1103BC0C47EC}"/>
    <cellStyle name="URL/LINK" xfId="5" xr:uid="{38F7CC8D-78B3-4E7C-9867-C52E4C7E509D}"/>
    <cellStyle name="VBA CODE" xfId="8" xr:uid="{788CF12B-2FD9-4081-BCE6-239B10C09BA6}"/>
  </cellStyles>
  <dxfs count="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left style="thick">
          <color indexed="64"/>
        </left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  <border diagonalUp="0" diagonalDown="0">
        <left style="thick">
          <color indexed="64"/>
        </left>
        <right style="thick">
          <color indexed="64"/>
        </right>
        <top/>
        <bottom/>
        <vertical/>
        <horizontal/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  <right/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ill>
        <patternFill patternType="solid">
          <fgColor indexed="64"/>
          <bgColor theme="1" tint="0.499984740745262"/>
        </patternFill>
      </fill>
    </dxf>
    <dxf>
      <border diagonalUp="0" diagonalDown="0" outline="0">
        <left style="thick">
          <color indexed="64"/>
        </left>
        <right/>
        <top/>
        <bottom/>
      </border>
    </dxf>
    <dxf>
      <border diagonalUp="0" diagonalDown="0">
        <left style="thick">
          <color indexed="64"/>
        </left>
        <right style="thick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</dxfs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9DC3B3B-7763-4E7C-ABAF-BB751BF6E9F5}" autoFormatId="16" applyNumberFormats="0" applyBorderFormats="0" applyFontFormats="0" applyPatternFormats="0" applyAlignmentFormats="0" applyWidthHeightFormats="0">
  <queryTableRefresh nextId="47" unboundColumnsRight="3">
    <queryTableFields count="38">
      <queryTableField id="1" name="Manufacturer" tableColumnId="1"/>
      <queryTableField id="2" name="Prod. Line" tableColumnId="2"/>
      <queryTableField id="3" name="Product Name" tableColumnId="3"/>
      <queryTableField id="4" name="LED Colors" tableColumnId="4"/>
      <queryTableField id="5" name="Product Number" tableColumnId="5"/>
      <queryTableField id="6" name="Input Voltage" tableColumnId="6"/>
      <queryTableField id="7" name="Watts/ft" tableColumnId="7"/>
      <queryTableField id="8" name="Watts/m" tableColumnId="8"/>
      <queryTableField id="9" name="m/Roll" tableColumnId="9"/>
      <queryTableField id="10" name="Pitch/m" tableColumnId="10"/>
      <queryTableField id="11" name="Price" tableColumnId="11"/>
      <queryTableField id="45" dataBound="0" tableColumnId="15"/>
      <queryTableField id="16" name="Cut Len(mm)" tableColumnId="16"/>
      <queryTableField id="17" name="Cut Len(in)" tableColumnId="17"/>
      <queryTableField id="18" name="Pixel Pitch" tableColumnId="18"/>
      <queryTableField id="19" name="Width" tableColumnId="19"/>
      <queryTableField id="20" name="Accessories" tableColumnId="20"/>
      <queryTableField id="21" name="Shape" tableColumnId="21"/>
      <queryTableField id="22" name="Diffusion" tableColumnId="22"/>
      <queryTableField id="23" name="View Angle" tableColumnId="23"/>
      <queryTableField id="24" name="Bend Direction" tableColumnId="24"/>
      <queryTableField id="28" name="CRI" tableColumnId="28"/>
      <queryTableField id="29" name="CCT" tableColumnId="29"/>
      <queryTableField id="30" name="Brightness" tableColumnId="30"/>
      <queryTableField id="46" dataBound="0" tableColumnId="26"/>
      <queryTableField id="31" name="Panelized Width" tableColumnId="31"/>
      <queryTableField id="43" dataBound="0" tableColumnId="13"/>
      <queryTableField id="42" dataBound="0" tableColumnId="12"/>
      <queryTableField id="32" name="Protocol" tableColumnId="32"/>
      <queryTableField id="33" name="Wire Code" tableColumnId="33"/>
      <queryTableField id="25" name="URL" tableColumnId="25"/>
      <queryTableField id="39" dataBound="0" tableColumnId="38"/>
      <queryTableField id="34" dataBound="0" tableColumnId="34"/>
      <queryTableField id="35" dataBound="0" tableColumnId="35"/>
      <queryTableField id="27" name="Cert.# / URL" tableColumnId="27"/>
      <queryTableField id="36" dataBound="0" tableColumnId="36"/>
      <queryTableField id="37" dataBound="0" tableColumnId="37"/>
      <queryTableField id="44" dataBound="0" tableColumnId="14"/>
    </queryTableFields>
    <queryTableDeletedFields count="5">
      <deletedField name="UL Listed"/>
      <deletedField name="UL Recognized"/>
      <deletedField name="IP-RATE"/>
      <deletedField name="Finish Color"/>
      <deletedField name="Datasheet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D73E731-AFA0-43F8-8C23-9366649E3442}" name="Table12" displayName="Table12" ref="B16:G20" totalsRowShown="0">
  <autoFilter ref="B16:G20" xr:uid="{0D73E731-AFA0-43F8-8C23-9366649E3442}"/>
  <tableColumns count="6">
    <tableColumn id="1" xr3:uid="{315E2E92-8FE0-4AC4-A616-C7EF30DFDD6A}" name="[EQTypes]"/>
    <tableColumn id="2" xr3:uid="{F6841617-7916-4A8C-B43A-8A1D2E19BB8C}" name="Slot"/>
    <tableColumn id="3" xr3:uid="{85687313-72B1-482A-B629-C42D20B44639}" name="Selected Type"/>
    <tableColumn id="4" xr3:uid="{37049C78-380A-4633-AF33-81334DCB5DD8}" name="Column1"/>
    <tableColumn id="5" xr3:uid="{AFDF1AC0-2AE7-43A7-8F77-55FDC4CC1B35}" name="Column3"/>
    <tableColumn id="6" xr3:uid="{C2E04CBA-B46E-4E30-B569-FE075F14A23B}" name="Column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604C49-F231-41A2-8C00-18D2E7544415}" name="LEDTable" displayName="LEDTable" ref="A1:AL59" tableType="queryTable" totalsRowShown="0">
  <autoFilter ref="A1:AL59" xr:uid="{84604C49-F231-41A2-8C00-18D2E754441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</autoFilter>
  <tableColumns count="38">
    <tableColumn id="1" xr3:uid="{60E43A2A-D112-4930-963F-01EE8D2C957B}" uniqueName="1" name="Manufacturer" queryTableFieldId="1"/>
    <tableColumn id="2" xr3:uid="{171CF89E-0077-4CB7-8C6E-32077377A96C}" uniqueName="2" name="Model" queryTableFieldId="2"/>
    <tableColumn id="3" xr3:uid="{D08E833F-E97A-40B3-A7FC-97F641AC88E8}" uniqueName="3" name="Name" queryTableFieldId="3"/>
    <tableColumn id="4" xr3:uid="{084FF207-26A8-4F25-AA86-13F52257F53F}" uniqueName="4" name="LED Colors" queryTableFieldId="4"/>
    <tableColumn id="5" xr3:uid="{609CDD4F-56A0-46D4-8F89-4C7E58E6AB7F}" uniqueName="5" name="PN" queryTableFieldId="5"/>
    <tableColumn id="6" xr3:uid="{8F75078A-98F7-4396-BCD4-B4623587DAEB}" uniqueName="6" name="VIN" queryTableFieldId="6" dataDxfId="73"/>
    <tableColumn id="7" xr3:uid="{E0C868BF-B6E6-4EA3-92A0-A0BF0FE218B6}" uniqueName="7" name="Watt/m" queryTableFieldId="7" dataDxfId="72"/>
    <tableColumn id="8" xr3:uid="{68115188-65D4-46FB-BCA6-5FB1985C933E}" uniqueName="8" name="Watt/ft" queryTableFieldId="8" dataDxfId="71"/>
    <tableColumn id="9" xr3:uid="{B5DDC608-3D4F-46E3-9237-E40098BC4E62}" uniqueName="9" name="M/Roll" queryTableFieldId="9" dataDxfId="70"/>
    <tableColumn id="10" xr3:uid="{44E40986-86BC-47B1-9406-EE000EA6F4B5}" uniqueName="10" name="LED/m" queryTableFieldId="10" dataDxfId="69"/>
    <tableColumn id="11" xr3:uid="{6A1B5B68-3B4C-453A-93A5-8211A55F1491}" uniqueName="11" name="Price" queryTableFieldId="11"/>
    <tableColumn id="15" xr3:uid="{4CECCE99-A657-471E-9D56-DC7D3CBDA680}" uniqueName="15" name="Price Date" queryTableFieldId="45"/>
    <tableColumn id="16" xr3:uid="{DC04E7A7-3B91-4943-A0F4-517D95DEC263}" uniqueName="16" name="Cut Length (mm)" queryTableFieldId="16" dataDxfId="68"/>
    <tableColumn id="17" xr3:uid="{E7217479-0B7E-4411-9365-2A4E73EA43FE}" uniqueName="17" name="Cut Length (in)" queryTableFieldId="17" dataDxfId="67"/>
    <tableColumn id="18" xr3:uid="{348F40B8-9350-49AB-ADB3-135E77209397}" uniqueName="18" name="Pixel Pitch (m)" queryTableFieldId="18" dataDxfId="66"/>
    <tableColumn id="19" xr3:uid="{D3D99CC4-A9D6-4431-B831-6B4C6EC89A81}" uniqueName="19" name="Tape Width (mm)" queryTableFieldId="19" dataDxfId="65"/>
    <tableColumn id="20" xr3:uid="{6EDCC752-2758-4596-9D4F-D1F395E220DA}" uniqueName="20" name="Accessories" queryTableFieldId="20"/>
    <tableColumn id="21" xr3:uid="{103E7ECF-A335-48C0-9338-C3D1413E9ABA}" uniqueName="21" name="Shape" queryTableFieldId="21"/>
    <tableColumn id="22" xr3:uid="{3BC6E47F-D111-498D-ACFE-D102A6281A03}" uniqueName="22" name="Diffusion" queryTableFieldId="22"/>
    <tableColumn id="23" xr3:uid="{DA4E7411-10C5-4782-ADAC-48116588F5D3}" uniqueName="23" name="View Angle" queryTableFieldId="23" dataDxfId="64"/>
    <tableColumn id="24" xr3:uid="{0F024062-5E2B-4DF1-B29E-83EBC4BA1340}" uniqueName="24" name="Bend Direction" queryTableFieldId="24"/>
    <tableColumn id="28" xr3:uid="{90FFA4A2-B2B1-41CA-8480-E6CB52CE98C6}" uniqueName="28" name="CRI" queryTableFieldId="28" dataDxfId="63"/>
    <tableColumn id="29" xr3:uid="{5DF142BC-6399-4559-B00C-50C550C6F35B}" uniqueName="29" name="CCT" queryTableFieldId="29" dataDxfId="62"/>
    <tableColumn id="30" xr3:uid="{8A394410-08AC-42E4-AC31-1F441BE021D3}" uniqueName="30" name="Lumens (m)" queryTableFieldId="30" dataDxfId="61"/>
    <tableColumn id="26" xr3:uid="{32E66A93-D2C4-47C3-85D5-111A459539BF}" uniqueName="26" name="Lumens (ft)" queryTableFieldId="46" dataDxfId="60"/>
    <tableColumn id="31" xr3:uid="{E9CE63F5-D021-4B20-8FF3-8A7D6D818B5C}" uniqueName="31" name="Length" queryTableFieldId="31" dataDxfId="59"/>
    <tableColumn id="13" xr3:uid="{5706247B-FD03-4041-88E8-17107C163472}" uniqueName="13" name="Width" queryTableFieldId="43" dataDxfId="58"/>
    <tableColumn id="12" xr3:uid="{F9682E16-DBD9-4BF3-865F-B58EE7199B84}" uniqueName="12" name="Height" queryTableFieldId="42" dataDxfId="57"/>
    <tableColumn id="32" xr3:uid="{E8A78B6C-FD85-424C-840F-30E39B83A493}" uniqueName="32" name="Protocol" queryTableFieldId="32"/>
    <tableColumn id="33" xr3:uid="{6088552D-1E8A-48BA-8E12-E6DF1513414E}" uniqueName="33" name="Wire Color Code" queryTableFieldId="33"/>
    <tableColumn id="25" xr3:uid="{B15D201E-559F-4CBE-BA1C-080300F0BEF5}" uniqueName="25" name="URL" queryTableFieldId="25"/>
    <tableColumn id="38" xr3:uid="{4AACC0EA-34CD-4DA6-97F9-7382A7DED4C4}" uniqueName="38" name="Datasheet" queryTableFieldId="39"/>
    <tableColumn id="34" xr3:uid="{AC0C5B80-5FC4-4A73-B25F-2A849758C3D9}" uniqueName="34" name="UL Listed" queryTableFieldId="34" dataDxfId="56"/>
    <tableColumn id="35" xr3:uid="{B48414C6-8003-4991-BB10-36A1A019946E}" uniqueName="35" name="UL Recognized" queryTableFieldId="35" dataDxfId="55"/>
    <tableColumn id="27" xr3:uid="{809BC0FA-0033-4AAD-AC8A-B678AAC66E78}" uniqueName="27" name="Certification URL" queryTableFieldId="27"/>
    <tableColumn id="36" xr3:uid="{EFDFB996-DC9E-475D-8B3D-E757CED9A1C1}" uniqueName="36" name="IP Rating" queryTableFieldId="36" dataDxfId="54"/>
    <tableColumn id="37" xr3:uid="{390E2F93-AE59-453D-BA98-63B20241E182}" uniqueName="37" name="Finish" queryTableFieldId="37"/>
    <tableColumn id="14" xr3:uid="{00FFBB58-0654-48EF-9F0F-E3AA9931FCD9}" uniqueName="14" name="Comments" queryTableFieldId="44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4615F0-E4BB-4115-BC08-08B4072E03C5}" name="PSUTable" displayName="PSUTable" ref="A1:V35" totalsRowShown="0">
  <autoFilter ref="A1:V35" xr:uid="{1F4615F0-E4BB-4115-BC08-08B4072E03C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024E2CDB-F8FD-46F6-812B-5494B8DC9043}" name="Manufacturer"/>
    <tableColumn id="7" xr3:uid="{945A29B5-8F1F-4700-9E8C-2A7F1568CB19}" name="Model"/>
    <tableColumn id="4" xr3:uid="{B897F1D0-1367-4DBB-BBE7-CB44F39A3A7B}" name="Name"/>
    <tableColumn id="5" xr3:uid="{19F634F4-65CA-4A5B-8697-BA46694AAA06}" name="PN"/>
    <tableColumn id="2" xr3:uid="{5EB2C9D8-425E-4126-9732-22ED565938BC}" name="VIN"/>
    <tableColumn id="3" xr3:uid="{21A8DF9C-BB75-49A9-9D9E-A9D1684EFA83}" name="VOUT"/>
    <tableColumn id="6" xr3:uid="{866683FC-5BBF-48C0-BE38-A55004774A81}" name="Wattage"/>
    <tableColumn id="8" xr3:uid="{AC8C0AF1-975D-4F6B-832F-CF78D9161DF1}" name="Amps"/>
    <tableColumn id="9" xr3:uid="{39834760-B302-414C-A48C-50F85C9E1E42}" name="Class"/>
    <tableColumn id="21" xr3:uid="{E85213B4-A4F5-4C9F-8C1D-4CEA0269F4D4}" name="Efficiency"/>
    <tableColumn id="10" xr3:uid="{56EF8DE3-97F7-4F8F-8943-D15B62ADDDB6}" name="Length"/>
    <tableColumn id="11" xr3:uid="{9B4D68EE-7588-43CC-9AB2-81A8C72FD949}" name="Width"/>
    <tableColumn id="12" xr3:uid="{6B88B537-D22D-4AAD-BEB9-BA12FAE54529}" name="Height"/>
    <tableColumn id="19" xr3:uid="{805A061D-6FB8-4925-8EE1-3FFE17F5504E}" name="Dimming"/>
    <tableColumn id="13" xr3:uid="{55AA07B1-1117-4AF1-9076-6D32FBB81A26}" name="URL"/>
    <tableColumn id="22" xr3:uid="{245FEC0B-E0F1-4D5F-BF3D-ED14A1527C53}" name="Certification URL"/>
    <tableColumn id="17" xr3:uid="{0E072107-75EC-47F4-AE77-74B974C4A3B6}" name="Datasheet"/>
    <tableColumn id="14" xr3:uid="{70C8D9BC-BBE7-44D0-A1DD-18B6E8ACE699}" name="UL Listed"/>
    <tableColumn id="15" xr3:uid="{25198BCA-646C-4C95-8C01-8C16F93F0946}" name="UL Recognized"/>
    <tableColumn id="16" xr3:uid="{33D4EC7C-2254-40D1-8991-61FFAAD629CE}" name="Price"/>
    <tableColumn id="20" xr3:uid="{D750C9F7-3BAC-4751-A541-47ACA9BB76DB}" name="Price Date" dataDxfId="53"/>
    <tableColumn id="18" xr3:uid="{1AE2771D-6715-4168-BDEB-DF4DF8256595}" name="Comments" dataDxfId="5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F1D38C3-F632-4221-99C6-6A6EB8178593}" name="CTRLTable" displayName="CTRLTable" ref="A1:Z17" totalsRowShown="0">
  <autoFilter ref="A1:Z17" xr:uid="{5F1D38C3-F632-4221-99C6-6A6EB81785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</autoFilter>
  <tableColumns count="26">
    <tableColumn id="1" xr3:uid="{E4594087-FEE1-4E84-892D-9E9B8F8177E4}" name="Manufacturer"/>
    <tableColumn id="2" xr3:uid="{46F6C1E6-2D72-42D1-94D6-74DB952839E3}" name="Model"/>
    <tableColumn id="3" xr3:uid="{A5F95316-AEE2-4817-9E17-8E0EA3506A21}" name="Name"/>
    <tableColumn id="4" xr3:uid="{51F49C97-FA49-4A69-8C25-6279DDC3CE73}" name="PN"/>
    <tableColumn id="5" xr3:uid="{A0B9E21A-7C2A-4366-B6BA-39C82C2DFC49}" name="VIN"/>
    <tableColumn id="6" xr3:uid="{DBF0C40A-65F7-4232-BCAE-9BCA51502CA6}" name="VOUT"/>
    <tableColumn id="7" xr3:uid="{7455F189-D90E-4198-86AD-DE878ED53E84}" name="Amps / Port"/>
    <tableColumn id="8" xr3:uid="{D49DEA02-B655-45ED-A615-D00541B1855A}" name="Fused"/>
    <tableColumn id="9" xr3:uid="{1751275B-8E80-4E32-99F0-AF4780FEE1D0}" name="Price"/>
    <tableColumn id="25" xr3:uid="{007D8AEE-4009-47FE-8B82-A929591483F6}" name="Price Date"/>
    <tableColumn id="10" xr3:uid="{E3B819D6-B810-4106-87D8-CCC078746016}" name="URL"/>
    <tableColumn id="24" xr3:uid="{9ED46686-7F7E-4501-8A72-A6A971C9F737}" name="Datasheet"/>
    <tableColumn id="11" xr3:uid="{3B3CDCC0-C5DE-47EE-9AB6-397DF9CF24B0}" name="UL Listed"/>
    <tableColumn id="12" xr3:uid="{28F2BA95-9CBE-4F4D-8D34-AB3CD4034BD9}" name="UL Recognized"/>
    <tableColumn id="13" xr3:uid="{2CB76B9C-B3CB-446B-A0CA-E72A466EF1D6}" name="Channels"/>
    <tableColumn id="14" xr3:uid="{13D1939B-AECF-49F8-A7AC-A94CEA683182}" name="Pixels / Output"/>
    <tableColumn id="15" xr3:uid="{1AF69818-86DD-422C-B38D-B6E1B68B5065}" name="Outputs"/>
    <tableColumn id="16" xr3:uid="{32160874-A0A7-4967-A265-BC8498C5FAF1}" name="Type"/>
    <tableColumn id="17" xr3:uid="{001B5583-04EA-40EF-885C-0A671676C138}" name="DIN"/>
    <tableColumn id="26" xr3:uid="{C39FF9CB-7629-4657-8CC7-3F9F8407C6F1}" name="DOUT"/>
    <tableColumn id="18" xr3:uid="{985A0ECD-D20B-4073-B89E-4442875B0162}" name="Mounting"/>
    <tableColumn id="19" xr3:uid="{B6D34F63-5820-4698-9BAA-42CE36843D7E}" name="Accessories"/>
    <tableColumn id="20" xr3:uid="{29B80AB5-B692-40F3-B1F8-D182F26B3D55}" name="Length"/>
    <tableColumn id="21" xr3:uid="{22F62CB6-62B6-4CE1-A8DD-67CD4B36F77D}" name="Height"/>
    <tableColumn id="22" xr3:uid="{346C7B41-64E0-4E69-8D60-6FE975337A62}" name="Width"/>
    <tableColumn id="23" xr3:uid="{9206B382-22B5-4438-91D6-2EB341F872C7}" name="Comments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90F93D0-685A-4EC1-8827-1D09B25ACC5B}" name="GENTable" displayName="GENTable" ref="A1:O22" totalsRowShown="0">
  <autoFilter ref="A1:O22" xr:uid="{E90F93D0-685A-4EC1-8827-1D09B25ACC5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97F88A3-BBAE-4E8C-9541-DBCCE1A8B62F}" name="Manufacturer"/>
    <tableColumn id="2" xr3:uid="{FD96CA7E-8B19-43B7-823D-E7764F048F09}" name="Model"/>
    <tableColumn id="3" xr3:uid="{A2D7CAAC-F538-408A-BCBA-FA9ED925B585}" name="Name"/>
    <tableColumn id="4" xr3:uid="{66FF2617-6A55-4D7B-8671-FBC01E5ABD81}" name="Type"/>
    <tableColumn id="5" xr3:uid="{1B88BF32-18C0-492D-9693-1D0BFD4D7FBC}" name="PN"/>
    <tableColumn id="6" xr3:uid="{B5078468-F22B-4F35-AF2A-B58911382ED2}" name="Description"/>
    <tableColumn id="7" xr3:uid="{B2562E1F-3901-47D6-862A-F851D602A036}" name="VIN"/>
    <tableColumn id="8" xr3:uid="{FDBE5F20-CBA1-4285-9409-3561E02F788F}" name="VOUT"/>
    <tableColumn id="9" xr3:uid="{404289B9-C477-4072-BDCD-36BE7C07FC0C}" name="Wattage"/>
    <tableColumn id="10" xr3:uid="{B5126BDD-77B4-4D3B-BBB6-5DD62667C53A}" name="Price"/>
    <tableColumn id="14" xr3:uid="{51268182-88C6-4F6F-805F-D8159F22A955}" name="Price Date"/>
    <tableColumn id="12" xr3:uid="{F67671AB-81B0-4809-8F56-F32E45BDB35D}" name="Unit Qty"/>
    <tableColumn id="11" xr3:uid="{803B2093-ED3F-4316-9268-8F45048ED531}" name="URL"/>
    <tableColumn id="15" xr3:uid="{ABAD9F53-118C-430F-8487-E5C809C67761}" name="Datasheet"/>
    <tableColumn id="13" xr3:uid="{A6AB256D-1550-42A1-A7F9-C16B02112CA1}" name="Comments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19094F-E88D-44B3-B9C9-733FDBE25EE5}" name="LED_drop" displayName="LED_drop" ref="A1:AG25" totalsRowShown="0" headerRowCellStyle="DataList">
  <autoFilter ref="A1:AG25" xr:uid="{3119094F-E88D-44B3-B9C9-733FDBE25E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</autoFilter>
  <tableColumns count="33">
    <tableColumn id="1" xr3:uid="{ADDB257C-2EDD-4123-ABC1-33C61942C17F}" name="Manufacturer" dataDxfId="51"/>
    <tableColumn id="2" xr3:uid="{BF9B6D36-FFB1-47E6-89D4-F1B557C232BE}" name="Prod. Line" dataDxfId="50"/>
    <tableColumn id="3" xr3:uid="{825FCAF8-683A-42A1-8715-D702E77E105D}" name="Product Name" dataDxfId="49"/>
    <tableColumn id="4" xr3:uid="{6952162E-8A21-4EED-A5CE-755D82605FBC}" name="LED Colors" dataDxfId="48"/>
    <tableColumn id="5" xr3:uid="{4873B3AA-EA3C-4946-8112-86011DB06D1E}" name="Product Number" dataDxfId="47"/>
    <tableColumn id="6" xr3:uid="{424ECD70-B9F7-40C4-BA70-4D8CE2859687}" name="Input Voltage" dataDxfId="46"/>
    <tableColumn id="7" xr3:uid="{12C59B46-F8E5-4D18-89B8-FD549F1C311E}" name="Watts/ft" dataDxfId="45"/>
    <tableColumn id="8" xr3:uid="{3C52151D-9693-481D-A4F3-195C2E940B55}" name="Watts/m" dataDxfId="44"/>
    <tableColumn id="9" xr3:uid="{C34F45A1-2C0B-439E-8B8C-9492E7D62D79}" name="m/Roll" dataDxfId="43"/>
    <tableColumn id="10" xr3:uid="{D812630D-680F-44AC-B2B9-D113F8B56615}" name="LED Pitch/m" dataDxfId="42"/>
    <tableColumn id="11" xr3:uid="{794A5260-BF84-4C48-9476-D9E17EC31997}" name="Price" dataDxfId="41"/>
    <tableColumn id="12" xr3:uid="{C729E6AC-3AD6-48EA-A899-D11610337C4A}" name="Cut Len(mm)" dataDxfId="40"/>
    <tableColumn id="13" xr3:uid="{E2056644-780B-4F18-B69F-1038374002B5}" name="Cut Len(in)" dataDxfId="39"/>
    <tableColumn id="14" xr3:uid="{69E0CDE1-0375-4EC0-B767-F9768FB97ED0}" name="Pix Per LED"/>
    <tableColumn id="15" xr3:uid="{424FA085-F227-4B90-B66B-8BACF5024A60}" name="Width" dataDxfId="38"/>
    <tableColumn id="16" xr3:uid="{B05319E6-342E-463C-8D2E-CAFE41F6062D}" name="Accessories" dataDxfId="37"/>
    <tableColumn id="17" xr3:uid="{034F32AC-A679-40D0-AFC6-BF11D3B07F70}" name="Shape" dataDxfId="36"/>
    <tableColumn id="18" xr3:uid="{8277936D-C71A-4A15-B257-04DD3DEC6BB2}" name="Diffusion"/>
    <tableColumn id="19" xr3:uid="{78D8E2E7-5932-4C48-8FBF-BE3BE7920AD8}" name="View Angle"/>
    <tableColumn id="20" xr3:uid="{E743F83C-76FD-4AC5-82D4-C38177D84E54}" name="Bend Direction"/>
    <tableColumn id="21" xr3:uid="{C23A4117-718F-4AE3-BCC5-85ED4EA97015}" name="CRI" dataDxfId="35"/>
    <tableColumn id="22" xr3:uid="{88D9373A-5FEA-4ABE-917C-31F1A9A8CE54}" name="CCT" dataDxfId="34"/>
    <tableColumn id="23" xr3:uid="{63E04289-D522-4125-AACB-61D1D6BF4462}" name="Brightness" dataDxfId="33"/>
    <tableColumn id="24" xr3:uid="{D22D69D8-9824-4FF5-AAEA-F712C67DF434}" name="LWH" dataDxfId="32"/>
    <tableColumn id="25" xr3:uid="{021AFAB2-8C5C-4302-B3C7-9CA1473C06CA}" name="Protocol" dataDxfId="31"/>
    <tableColumn id="26" xr3:uid="{4F45F684-FAE4-4837-8FA5-36E2ECD392B7}" name="Wire Code" dataDxfId="30"/>
    <tableColumn id="27" xr3:uid="{D82F0045-C018-41F6-9C99-45DF0DD8B44A}" name="URL" dataDxfId="29"/>
    <tableColumn id="28" xr3:uid="{89C3DB49-FCF3-4A97-A128-8A2E12DC90FD}" name="Datasheet" dataDxfId="28"/>
    <tableColumn id="29" xr3:uid="{52743E50-FB5A-4A21-9B41-686E82A117CF}" name="UL Listed" dataDxfId="27"/>
    <tableColumn id="30" xr3:uid="{60EDB4B6-8AC1-466A-BE48-A7AC0F48F0A0}" name="UL Recognized"/>
    <tableColumn id="31" xr3:uid="{4943836E-B2BC-4BAB-A67C-4D2D3E9A4CCD}" name="Cert.# / URL" dataDxfId="26"/>
    <tableColumn id="32" xr3:uid="{E1C037CA-2D7B-42E7-B644-DCE3FF793548}" name="IP-Rating" dataDxfId="25"/>
    <tableColumn id="33" xr3:uid="{DF298AAA-8C0C-4EC4-96E0-50C56B93AAF0}" name="Finish Color"/>
  </tableColumns>
  <tableStyleInfo name="TableStyleDark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8FC475-6B45-4FD4-B1A5-B9B934279C51}" name="Table2" displayName="Table2" ref="Z27:AB48" totalsRowShown="0" dataDxfId="24">
  <autoFilter ref="Z27:AB48" xr:uid="{578FC475-6B45-4FD4-B1A5-B9B934279C51}"/>
  <tableColumns count="3">
    <tableColumn id="1" xr3:uid="{FAAD741E-86F1-43C5-BB2A-19E43657A205}" name="-Wire Color Ref-" dataDxfId="23"/>
    <tableColumn id="2" xr3:uid="{C089FC68-00FC-4A46-A723-856D28BB7546}" name="Wire" dataDxfId="22"/>
    <tableColumn id="3" xr3:uid="{F5574965-0347-46E3-96E7-BA61E2CC88A6}" name="Value" dataDxfId="21"/>
  </tableColumns>
  <tableStyleInfo name="TableStyleDark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9E09A65-329B-44AD-B85C-2EC0C4C0A909}" name="PSU_drop" displayName="PSU_drop" ref="A1:S17" totalsRowShown="0" dataDxfId="20" tableBorderDxfId="19" headerRowCellStyle="DataList">
  <autoFilter ref="A1:S17" xr:uid="{F9E09A65-329B-44AD-B85C-2EC0C4C0A90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E936C55-3E94-41DE-9B91-136F6D3309DF}" name="Manufacturer" dataDxfId="18"/>
    <tableColumn id="7" xr3:uid="{E9F45805-F2BE-4BD7-A0F8-A0EC1739D9A7}" name="Model" dataDxfId="17"/>
    <tableColumn id="4" xr3:uid="{F59A0C2D-9467-4AAA-934D-67A34098A274}" name="Name" dataDxfId="16"/>
    <tableColumn id="5" xr3:uid="{15075488-F13D-4F91-9A95-1919F320A702}" name="PN" dataDxfId="15"/>
    <tableColumn id="2" xr3:uid="{1354A36A-9901-4689-BA7A-C9AF96B084AA}" name="Input Voltage" dataDxfId="14"/>
    <tableColumn id="3" xr3:uid="{93758D0B-6AD5-4C1E-9058-8DB673FA171E}" name="Output Voltage" dataDxfId="13"/>
    <tableColumn id="6" xr3:uid="{FE760F7C-042E-4F0E-9A26-236E328D9F42}" name="Watts" dataDxfId="12"/>
    <tableColumn id="8" xr3:uid="{8A33F015-39D6-4DA7-B6DB-CE8E3E2A152D}" name="A @ V" dataDxfId="11"/>
    <tableColumn id="9" xr3:uid="{F42EE64A-D359-49F5-9144-D7DD604C2B72}" name="Class" dataDxfId="10"/>
    <tableColumn id="10" xr3:uid="{1598D058-BE6E-4DAB-8877-84005784B870}" name="Length" dataDxfId="9"/>
    <tableColumn id="11" xr3:uid="{F719793C-3700-4669-874A-ACF8C78071C9}" name="Width" dataDxfId="8"/>
    <tableColumn id="12" xr3:uid="{2CE2892E-6FC2-422C-9C19-20913CDDB64F}" name="Height" dataDxfId="7"/>
    <tableColumn id="13" xr3:uid="{1BDDF5C6-A2D1-43BF-894D-FFF157558CF0}" name="URL" dataDxfId="6"/>
    <tableColumn id="14" xr3:uid="{411E7FA2-0EE9-42DF-8210-37A32BB4FF0A}" name="UL Listed" dataDxfId="5"/>
    <tableColumn id="15" xr3:uid="{B5E8BDA8-1EDC-420A-868C-E3EDAB5EF178}" name="UL Recognized" dataDxfId="4"/>
    <tableColumn id="16" xr3:uid="{DDA6160F-3BA6-4FC4-A5CE-60AD3D5BBD1A}" name="Price" dataDxfId="3"/>
    <tableColumn id="17" xr3:uid="{5B6F8467-3313-4EE8-9634-ECC453FE8800}" name="Alt. URL" dataDxfId="2"/>
    <tableColumn id="18" xr3:uid="{A1A2B3B0-7BF5-4C39-BB25-E0E799C20271}" name="Comments" dataDxfId="1"/>
    <tableColumn id="19" xr3:uid="{69B02F3F-33DC-4310-815B-FDD9A225E41E}" name="Dimming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766F8C8-F6C7-40B3-8BD6-A08F4197B489}" name="CTRL_drop" displayName="CTRL_drop" ref="A1:W29" totalsRowShown="0" headerRowCellStyle="DataList">
  <autoFilter ref="A1:W29" xr:uid="{3766F8C8-F6C7-40B3-8BD6-A08F4197B48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xr3:uid="{6A266BA4-A5B5-49E9-B107-1A6E550735A7}" name="Manufacturer"/>
    <tableColumn id="2" xr3:uid="{4F1CE249-B5A2-4EAC-A767-909711B00AA2}" name="Model"/>
    <tableColumn id="3" xr3:uid="{AD73D9C4-F9EC-4C6B-8AF1-E3F9744257A9}" name="Name"/>
    <tableColumn id="4" xr3:uid="{45677E33-3609-462C-AC4E-BE83FD9B065D}" name="PN"/>
    <tableColumn id="5" xr3:uid="{5D6B831E-31DB-4783-AA31-070298896D41}" name="VIN"/>
    <tableColumn id="6" xr3:uid="{48A3994C-90ED-42E5-BB9E-63D73425DF94}" name="VOUT"/>
    <tableColumn id="7" xr3:uid="{C5E8253E-FF27-4BE1-90FF-B9AF2D775B20}" name="Amp/Port"/>
    <tableColumn id="8" xr3:uid="{AFFFAE45-C256-47B8-8517-CA533FDEF308}" name="Fused"/>
    <tableColumn id="9" xr3:uid="{DB825DDC-84E0-43D8-8509-F966C327AEE4}" name="Price"/>
    <tableColumn id="10" xr3:uid="{9D6B8263-2192-44EA-9DD6-B1505E90227B}" name="URL"/>
    <tableColumn id="11" xr3:uid="{F03081D5-DA29-4FAE-B177-7BFEFABDBF14}" name="UL Listed"/>
    <tableColumn id="12" xr3:uid="{4AEB6F31-DCC2-41BB-8858-BAFD88A22FD9}" name="UL Recognized"/>
    <tableColumn id="13" xr3:uid="{41D76018-9C61-463E-86DE-E26A51712B0A}" name="CTRL Chan."/>
    <tableColumn id="25" xr3:uid="{170B5FE9-3A41-4CAE-96E2-846664657E66}" name="Expandable Ch."/>
    <tableColumn id="14" xr3:uid="{CBD313C0-A337-43F1-8528-67B469FCA20A}" name="Pixels/Out"/>
    <tableColumn id="15" xr3:uid="{3C84BFD0-A3ED-4DF9-B907-A4815F9D8429}" name="Output #"/>
    <tableColumn id="16" xr3:uid="{1D2E87E7-7947-408D-A6C6-3D4A9BE049D4}" name="CTRL Type"/>
    <tableColumn id="17" xr3:uid="{1DAC16C7-6CE2-424A-BD55-796A93B98183}" name="DataIN"/>
    <tableColumn id="18" xr3:uid="{8EFECF0E-E20B-4145-9D11-6CDD9B95272B}" name="Mounting"/>
    <tableColumn id="19" xr3:uid="{990BDBE9-C75D-47EC-89A2-BCF60C193812}" name="Accessories"/>
    <tableColumn id="20" xr3:uid="{AFD6543D-B09F-482B-9584-69353D894745}" name="Length"/>
    <tableColumn id="21" xr3:uid="{875CFCF0-B345-49ED-A86E-D82C7E919EBD}" name="Height"/>
    <tableColumn id="22" xr3:uid="{8D43B0B1-244B-4FAD-A63E-72E26600849D}" name="Width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E7C16B7-40C0-414C-990A-ED9CF4F2A5D0}" name="GEN_drop" displayName="GEN_drop" ref="A1:M22" totalsRowShown="0" headerRowCellStyle="DataList">
  <autoFilter ref="A1:M22" xr:uid="{2E7C16B7-40C0-414C-990A-ED9CF4F2A5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F5C72250-A155-403E-A2CC-DB7C17960864}" name="Manufacturer"/>
    <tableColumn id="2" xr3:uid="{CD879217-F2B0-4D00-8E5D-49E3026F09ED}" name="Model"/>
    <tableColumn id="3" xr3:uid="{5ED83A6C-AC41-4D08-BB33-92C778568BB6}" name="Name"/>
    <tableColumn id="4" xr3:uid="{20F6C2FE-398C-4EAF-83C5-5C468372C847}" name="Type"/>
    <tableColumn id="5" xr3:uid="{E85E0DC1-D1C5-475F-8D9F-150919B897E0}" name="PN"/>
    <tableColumn id="6" xr3:uid="{8C04F0F2-9B24-4C88-A5F0-EB1B4C79AC48}" name="Description"/>
    <tableColumn id="7" xr3:uid="{9FAAB59F-69E7-43CE-8211-31C5706D363A}" name="VIN"/>
    <tableColumn id="8" xr3:uid="{17C403F0-91E5-4EED-B2B5-2C85B28E2E52}" name="VOUT"/>
    <tableColumn id="9" xr3:uid="{56858018-1777-4A69-BE09-1AA76D92EF15}" name="Wattage"/>
    <tableColumn id="10" xr3:uid="{1714B6F0-A547-4735-B325-7BD7544A4141}" name="Price"/>
    <tableColumn id="12" xr3:uid="{A1D35EFC-88D8-42B4-98C3-EEAACFF5D149}" name="Pack Q."/>
    <tableColumn id="11" xr3:uid="{D3DEDBEA-5035-4FDA-BAAA-1BD6286DD7F8}" name="URL"/>
    <tableColumn id="13" xr3:uid="{5DC09284-87E0-44E8-906D-64BB3EBC1FEF}" name="Comment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435D47C-C2CE-474C-A860-D02F5050F066}">
  <we:reference id="wa200007447" version="1.0.0.0" store="en-US" storeType="OMEX"/>
  <we:alternateReferences>
    <we:reference id="wa200007447" version="1.0.0.0" store="wa200007447" storeType="OMEX"/>
  </we:alternateReferences>
  <we:properties>
    <we:property name="hello" value="{&quot;name&quot;:&quot;hello&quot;,&quot;code&quot;:&quot;def hello(name):\n    \&quot;\&quot;\&quot; Returns a greeting. \&quot;\&quot;\&quot;\n    return f\&quot;Hello {name}!\&quot;\n\n\n   \n\&quot;\&quot;\&quot;\n👈 Drag task pane open for space\n💾 Save to create Excel function\n▶️ Run in Excel: =HELLO(\&quot;World\&quot;)\n✨ Create a function using AI\n\n\nClick Run▶️ below to try =HELLO!\n\&quot;\&quot;\&quot;&quot;,&quot;options&quot;:{},&quot;signature&quot;:&quot;HELLO(name)&quot;,&quot;description&quot;:&quot;Returns a greeting.&quot;,&quot;resultLine&quot;:&quot;\n\nresult = hello(**{k: v for k, v in [(\&quot;name\&quot;, arg1 if arg1 != \&quot;__OMITTED__\&quot; else None)] if v is not None})&quot;,&quot;formula&quot;:&quot;=LAMBDA(name, BOARDFLARE.EXEC(\&quot;hello\&quot;,name))&quot;,&quot;execFormula&quot;:&quot;=BOARDFLARE.EXEC(\&quot;hello\&quot;, arg1)&quot;,&quot;timestamp&quot;:&quot;2025-10-17T01:09:03.630Z&quot;,&quot;uid&quot;:&quot;anonymous&quot;,&quot;parameters&quot;:[{&quot;name&quot;:&quot;name&quot;}],&quot;imports&quot;:[],&quot;external_packages&quot;:[]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s://www.environmentallights.com/media/files/documents/E345867-20130923-CertificateofCompliance.pd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05A29-E72E-448E-81AA-ED56BDF3DE6D}">
  <sheetPr codeName="Sheet1"/>
  <dimension ref="A12:E16"/>
  <sheetViews>
    <sheetView workbookViewId="0">
      <selection activeCell="F16" sqref="F16"/>
    </sheetView>
  </sheetViews>
  <sheetFormatPr defaultRowHeight="15" x14ac:dyDescent="0.25"/>
  <cols>
    <col min="2" max="2" width="13.5703125" customWidth="1"/>
    <col min="3" max="3" width="15.7109375" customWidth="1"/>
    <col min="4" max="4" width="17.7109375" customWidth="1"/>
    <col min="5" max="5" width="17" customWidth="1"/>
    <col min="6" max="6" width="16.7109375" customWidth="1"/>
  </cols>
  <sheetData>
    <row r="12" spans="1:5" x14ac:dyDescent="0.25">
      <c r="B12" s="30"/>
      <c r="C12" s="30"/>
      <c r="D12" s="30"/>
      <c r="E12" s="30"/>
    </row>
    <row r="13" spans="1:5" x14ac:dyDescent="0.25">
      <c r="A13" s="29"/>
      <c r="B13" s="57" t="s">
        <v>277</v>
      </c>
      <c r="C13" s="58"/>
      <c r="D13" s="58"/>
      <c r="E13" s="59"/>
    </row>
    <row r="14" spans="1:5" ht="15.75" thickBot="1" x14ac:dyDescent="0.3">
      <c r="A14" s="29"/>
      <c r="B14" s="60"/>
      <c r="C14" s="61"/>
      <c r="D14" s="61"/>
      <c r="E14" s="62"/>
    </row>
    <row r="15" spans="1:5" ht="16.5" thickTop="1" thickBot="1" x14ac:dyDescent="0.3">
      <c r="B15" s="25" t="s">
        <v>273</v>
      </c>
      <c r="C15" s="26" t="s">
        <v>274</v>
      </c>
      <c r="D15" s="27" t="s">
        <v>275</v>
      </c>
      <c r="E15" s="28" t="s">
        <v>276</v>
      </c>
    </row>
    <row r="16" spans="1:5" ht="15.75" thickTop="1" x14ac:dyDescent="0.25"/>
  </sheetData>
  <mergeCells count="1">
    <mergeCell ref="B13:E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FA203-6A86-41ED-9841-ACBF5C923A6E}">
  <sheetPr codeName="Sheet2"/>
  <dimension ref="B2:N20"/>
  <sheetViews>
    <sheetView workbookViewId="0">
      <selection activeCell="E17" sqref="E17"/>
    </sheetView>
  </sheetViews>
  <sheetFormatPr defaultRowHeight="15" x14ac:dyDescent="0.25"/>
  <cols>
    <col min="2" max="2" width="13" customWidth="1"/>
    <col min="3" max="3" width="13.140625" customWidth="1"/>
    <col min="4" max="4" width="13.5703125" customWidth="1"/>
    <col min="5" max="5" width="10.42578125" customWidth="1"/>
    <col min="6" max="6" width="11.42578125" customWidth="1"/>
    <col min="7" max="7" width="14.85546875" customWidth="1"/>
    <col min="8" max="8" width="21.5703125" customWidth="1"/>
    <col min="9" max="9" width="15.5703125" customWidth="1"/>
    <col min="10" max="10" width="19" customWidth="1"/>
  </cols>
  <sheetData>
    <row r="2" spans="2:14" x14ac:dyDescent="0.25">
      <c r="B2" s="63" t="s">
        <v>58</v>
      </c>
      <c r="C2" s="64"/>
      <c r="D2" s="65"/>
      <c r="F2" t="s">
        <v>68</v>
      </c>
      <c r="G2" t="s">
        <v>59</v>
      </c>
      <c r="H2" t="s">
        <v>60</v>
      </c>
      <c r="I2" t="s">
        <v>61</v>
      </c>
      <c r="J2" t="s">
        <v>62</v>
      </c>
    </row>
    <row r="3" spans="2:14" x14ac:dyDescent="0.25">
      <c r="B3" s="7" t="s">
        <v>53</v>
      </c>
      <c r="C3" s="5"/>
      <c r="D3" s="5"/>
      <c r="F3" s="1" t="b">
        <v>0</v>
      </c>
      <c r="N3" t="s">
        <v>64</v>
      </c>
    </row>
    <row r="4" spans="2:14" x14ac:dyDescent="0.25">
      <c r="B4" s="10" t="s">
        <v>5</v>
      </c>
      <c r="C4" s="5"/>
      <c r="D4" s="5"/>
      <c r="N4" t="s">
        <v>65</v>
      </c>
    </row>
    <row r="5" spans="2:14" x14ac:dyDescent="0.25">
      <c r="B5" s="7" t="s">
        <v>4</v>
      </c>
      <c r="C5" s="6"/>
      <c r="D5" s="5"/>
      <c r="N5" t="s">
        <v>66</v>
      </c>
    </row>
    <row r="6" spans="2:14" x14ac:dyDescent="0.25">
      <c r="B6" s="8" t="s">
        <v>54</v>
      </c>
      <c r="C6" s="4"/>
      <c r="D6" s="5"/>
      <c r="N6" t="s">
        <v>67</v>
      </c>
    </row>
    <row r="7" spans="2:14" x14ac:dyDescent="0.25">
      <c r="B7" s="8" t="s">
        <v>57</v>
      </c>
      <c r="C7" s="4"/>
      <c r="D7" s="5"/>
      <c r="N7" t="s">
        <v>63</v>
      </c>
    </row>
    <row r="8" spans="2:14" x14ac:dyDescent="0.25">
      <c r="B8" s="8" t="s">
        <v>56</v>
      </c>
      <c r="C8" s="4"/>
      <c r="D8" s="5"/>
    </row>
    <row r="9" spans="2:14" x14ac:dyDescent="0.25">
      <c r="B9" s="9" t="s">
        <v>26</v>
      </c>
      <c r="C9" s="4"/>
      <c r="D9" s="5"/>
    </row>
    <row r="10" spans="2:14" x14ac:dyDescent="0.25">
      <c r="B10" s="9" t="s">
        <v>6</v>
      </c>
      <c r="C10" s="4"/>
      <c r="D10" s="5"/>
    </row>
    <row r="11" spans="2:14" x14ac:dyDescent="0.25">
      <c r="B11" s="9" t="s">
        <v>55</v>
      </c>
      <c r="C11" s="4"/>
      <c r="D11" s="5"/>
    </row>
    <row r="16" spans="2:14" x14ac:dyDescent="0.25">
      <c r="B16" t="s">
        <v>271</v>
      </c>
      <c r="C16" t="s">
        <v>268</v>
      </c>
      <c r="D16" t="s">
        <v>272</v>
      </c>
      <c r="E16" t="s">
        <v>116</v>
      </c>
      <c r="F16" t="s">
        <v>269</v>
      </c>
      <c r="G16" t="s">
        <v>270</v>
      </c>
    </row>
    <row r="17" spans="2:4" x14ac:dyDescent="0.25">
      <c r="B17" t="s">
        <v>197</v>
      </c>
      <c r="C17">
        <v>1</v>
      </c>
      <c r="D17" t="s">
        <v>198</v>
      </c>
    </row>
    <row r="18" spans="2:4" x14ac:dyDescent="0.25">
      <c r="B18" t="s">
        <v>198</v>
      </c>
      <c r="C18">
        <v>2</v>
      </c>
      <c r="D18" t="s">
        <v>197</v>
      </c>
    </row>
    <row r="19" spans="2:4" x14ac:dyDescent="0.25">
      <c r="B19" t="s">
        <v>30</v>
      </c>
      <c r="C19">
        <v>3</v>
      </c>
      <c r="D19" t="s">
        <v>106</v>
      </c>
    </row>
    <row r="20" spans="2:4" x14ac:dyDescent="0.25">
      <c r="B20" t="s">
        <v>106</v>
      </c>
      <c r="C20">
        <v>4</v>
      </c>
      <c r="D20" t="s">
        <v>30</v>
      </c>
    </row>
  </sheetData>
  <mergeCells count="1">
    <mergeCell ref="B2:D2"/>
  </mergeCells>
  <dataValidations count="2">
    <dataValidation type="list" allowBlank="1" showInputMessage="1" showErrorMessage="1" sqref="D17:D20" xr:uid="{60304139-7F9B-44B4-8611-F43C9DBA4D2D}">
      <formula1>$B$17:$B$20</formula1>
    </dataValidation>
    <dataValidation type="list" allowBlank="1" showInputMessage="1" showErrorMessage="1" sqref="E17:E20" xr:uid="{DDE8548F-D639-4080-BCC0-EE6D7F74DE40}">
      <formula1>INDIRECT(D17 &amp; "Table[Name]")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1A401-9FD8-4E42-AA25-DA435AC18316}">
  <sheetPr codeName="Sheet3"/>
  <dimension ref="A1:AL59"/>
  <sheetViews>
    <sheetView topLeftCell="K1" workbookViewId="0">
      <selection activeCell="AB3" sqref="AB3"/>
    </sheetView>
  </sheetViews>
  <sheetFormatPr defaultRowHeight="15" x14ac:dyDescent="0.25"/>
  <cols>
    <col min="1" max="1" width="15.42578125" customWidth="1"/>
    <col min="2" max="2" width="12.28515625" bestFit="1" customWidth="1"/>
    <col min="3" max="3" width="56.85546875" customWidth="1"/>
    <col min="4" max="4" width="15.85546875" customWidth="1"/>
    <col min="5" max="5" width="21.28515625" customWidth="1"/>
    <col min="6" max="6" width="15.140625" style="16" bestFit="1" customWidth="1"/>
    <col min="7" max="7" width="14.85546875" style="16" customWidth="1"/>
    <col min="8" max="8" width="15.28515625" style="16" customWidth="1"/>
    <col min="9" max="9" width="13.5703125" style="16" customWidth="1"/>
    <col min="10" max="10" width="15.42578125" style="16" customWidth="1"/>
    <col min="11" max="12" width="14.28515625" customWidth="1"/>
    <col min="13" max="13" width="19.7109375" style="16" customWidth="1"/>
    <col min="14" max="14" width="20" style="16" customWidth="1"/>
    <col min="15" max="15" width="16.85546875" style="16" customWidth="1"/>
    <col min="16" max="16" width="14" style="16" customWidth="1"/>
    <col min="17" max="17" width="18.5703125" customWidth="1"/>
    <col min="18" max="18" width="18.42578125" customWidth="1"/>
    <col min="19" max="19" width="18.140625" customWidth="1"/>
    <col min="20" max="20" width="17.85546875" style="16" customWidth="1"/>
    <col min="21" max="21" width="21.5703125" customWidth="1"/>
    <col min="22" max="22" width="16.140625" style="16" customWidth="1"/>
    <col min="23" max="23" width="17.140625" style="16" customWidth="1"/>
    <col min="24" max="25" width="23.140625" style="16" customWidth="1"/>
    <col min="26" max="28" width="15" style="16" customWidth="1"/>
    <col min="29" max="29" width="14.7109375" customWidth="1"/>
    <col min="30" max="30" width="18" bestFit="1" customWidth="1"/>
    <col min="31" max="31" width="16.140625" customWidth="1"/>
    <col min="32" max="32" width="18.140625" customWidth="1"/>
    <col min="33" max="33" width="14.7109375" style="16" customWidth="1"/>
    <col min="34" max="34" width="19.85546875" style="16" customWidth="1"/>
    <col min="35" max="35" width="19.5703125" customWidth="1"/>
    <col min="36" max="36" width="17.28515625" style="16" customWidth="1"/>
    <col min="37" max="37" width="21.140625" customWidth="1"/>
    <col min="38" max="38" width="25.140625" customWidth="1"/>
  </cols>
  <sheetData>
    <row r="1" spans="1:38" ht="16.5" thickTop="1" thickBot="1" x14ac:dyDescent="0.3">
      <c r="A1" s="26" t="s">
        <v>1</v>
      </c>
      <c r="B1" s="28" t="s">
        <v>218</v>
      </c>
      <c r="C1" s="28" t="s">
        <v>200</v>
      </c>
      <c r="D1" s="26" t="s">
        <v>28</v>
      </c>
      <c r="E1" s="28" t="s">
        <v>201</v>
      </c>
      <c r="F1" s="26" t="s">
        <v>219</v>
      </c>
      <c r="G1" s="26" t="s">
        <v>331</v>
      </c>
      <c r="H1" s="28" t="s">
        <v>332</v>
      </c>
      <c r="I1" s="28" t="s">
        <v>333</v>
      </c>
      <c r="J1" s="26" t="s">
        <v>334</v>
      </c>
      <c r="K1" s="28" t="s">
        <v>7</v>
      </c>
      <c r="L1" s="53" t="s">
        <v>303</v>
      </c>
      <c r="M1" s="28" t="s">
        <v>335</v>
      </c>
      <c r="N1" s="28" t="s">
        <v>336</v>
      </c>
      <c r="O1" s="28" t="s">
        <v>359</v>
      </c>
      <c r="P1" s="28" t="s">
        <v>360</v>
      </c>
      <c r="Q1" s="26" t="s">
        <v>14</v>
      </c>
      <c r="R1" s="26" t="s">
        <v>16</v>
      </c>
      <c r="S1" s="26" t="s">
        <v>17</v>
      </c>
      <c r="T1" s="28" t="s">
        <v>18</v>
      </c>
      <c r="U1" s="26" t="s">
        <v>19</v>
      </c>
      <c r="V1" s="28" t="s">
        <v>23</v>
      </c>
      <c r="W1" s="28" t="s">
        <v>24</v>
      </c>
      <c r="X1" s="28" t="s">
        <v>361</v>
      </c>
      <c r="Y1" s="28" t="s">
        <v>362</v>
      </c>
      <c r="Z1" s="28" t="s">
        <v>61</v>
      </c>
      <c r="AA1" s="28" t="s">
        <v>15</v>
      </c>
      <c r="AB1" s="28" t="s">
        <v>205</v>
      </c>
      <c r="AC1" s="26" t="s">
        <v>26</v>
      </c>
      <c r="AD1" s="26" t="s">
        <v>337</v>
      </c>
      <c r="AE1" s="31" t="s">
        <v>20</v>
      </c>
      <c r="AF1" s="31" t="s">
        <v>21</v>
      </c>
      <c r="AG1" s="26" t="s">
        <v>8</v>
      </c>
      <c r="AH1" s="26" t="s">
        <v>9</v>
      </c>
      <c r="AI1" s="31" t="s">
        <v>338</v>
      </c>
      <c r="AJ1" s="26" t="s">
        <v>339</v>
      </c>
      <c r="AK1" s="26" t="s">
        <v>340</v>
      </c>
      <c r="AL1" s="32" t="s">
        <v>207</v>
      </c>
    </row>
    <row r="2" spans="1:38" ht="15.75" thickTop="1" x14ac:dyDescent="0.25">
      <c r="A2" t="s">
        <v>69</v>
      </c>
      <c r="B2" t="s">
        <v>41</v>
      </c>
      <c r="C2" t="s">
        <v>297</v>
      </c>
      <c r="D2" t="s">
        <v>300</v>
      </c>
      <c r="E2" t="s">
        <v>301</v>
      </c>
      <c r="F2" s="45" t="s">
        <v>52</v>
      </c>
      <c r="G2" s="46">
        <v>15</v>
      </c>
      <c r="H2" s="47">
        <v>4.5999999999999996</v>
      </c>
      <c r="I2" s="16">
        <v>10</v>
      </c>
      <c r="J2" s="16" t="s">
        <v>302</v>
      </c>
      <c r="K2" s="43">
        <v>1854.79</v>
      </c>
      <c r="L2" s="42">
        <v>45958.663703703707</v>
      </c>
      <c r="M2" s="16" t="s">
        <v>304</v>
      </c>
      <c r="N2" s="16" t="s">
        <v>305</v>
      </c>
      <c r="O2" s="16" t="s">
        <v>302</v>
      </c>
      <c r="P2" s="16" t="s">
        <v>196</v>
      </c>
      <c r="R2" t="s">
        <v>131</v>
      </c>
      <c r="S2" t="s">
        <v>128</v>
      </c>
      <c r="T2" s="16" t="s">
        <v>315</v>
      </c>
      <c r="U2" t="s">
        <v>117</v>
      </c>
      <c r="V2" s="16" t="s">
        <v>124</v>
      </c>
      <c r="W2" s="16" t="s">
        <v>45</v>
      </c>
      <c r="X2" s="16" t="s">
        <v>323</v>
      </c>
      <c r="Z2" s="16" t="s">
        <v>324</v>
      </c>
      <c r="AA2" s="16" t="s">
        <v>196</v>
      </c>
      <c r="AB2" s="16" t="s">
        <v>325</v>
      </c>
      <c r="AC2" t="s">
        <v>101</v>
      </c>
      <c r="AD2" t="s">
        <v>326</v>
      </c>
      <c r="AE2" t="s">
        <v>328</v>
      </c>
      <c r="AF2" t="s">
        <v>329</v>
      </c>
      <c r="AG2" s="16" t="s">
        <v>90</v>
      </c>
      <c r="AH2" s="16" t="s">
        <v>90</v>
      </c>
      <c r="AI2" s="39" t="s">
        <v>330</v>
      </c>
      <c r="AJ2" s="16" t="s">
        <v>89</v>
      </c>
      <c r="AK2" t="s">
        <v>81</v>
      </c>
    </row>
    <row r="3" spans="1:38" x14ac:dyDescent="0.25">
      <c r="F3" s="48"/>
      <c r="H3" s="49"/>
      <c r="L3" s="42"/>
    </row>
    <row r="4" spans="1:38" x14ac:dyDescent="0.25">
      <c r="F4" s="48"/>
      <c r="H4" s="49"/>
    </row>
    <row r="5" spans="1:38" x14ac:dyDescent="0.25">
      <c r="F5" s="48"/>
      <c r="H5" s="49"/>
    </row>
    <row r="6" spans="1:38" x14ac:dyDescent="0.25">
      <c r="F6" s="48"/>
      <c r="H6" s="49"/>
    </row>
    <row r="7" spans="1:38" x14ac:dyDescent="0.25">
      <c r="F7" s="48"/>
      <c r="H7" s="49"/>
    </row>
    <row r="8" spans="1:38" x14ac:dyDescent="0.25">
      <c r="F8" s="48"/>
      <c r="H8" s="49"/>
    </row>
    <row r="9" spans="1:38" x14ac:dyDescent="0.25">
      <c r="F9" s="48"/>
      <c r="H9" s="49"/>
    </row>
    <row r="10" spans="1:38" x14ac:dyDescent="0.25">
      <c r="F10" s="48"/>
      <c r="H10" s="49"/>
    </row>
    <row r="11" spans="1:38" x14ac:dyDescent="0.25">
      <c r="F11" s="48"/>
      <c r="H11" s="49"/>
    </row>
    <row r="12" spans="1:38" x14ac:dyDescent="0.25">
      <c r="F12" s="48"/>
      <c r="H12" s="49"/>
    </row>
    <row r="13" spans="1:38" x14ac:dyDescent="0.25">
      <c r="F13" s="48"/>
      <c r="H13" s="49"/>
    </row>
    <row r="14" spans="1:38" x14ac:dyDescent="0.25">
      <c r="F14" s="48"/>
      <c r="H14" s="49"/>
    </row>
    <row r="15" spans="1:38" x14ac:dyDescent="0.25">
      <c r="F15" s="48"/>
      <c r="H15" s="49"/>
    </row>
    <row r="16" spans="1:38" x14ac:dyDescent="0.25">
      <c r="F16" s="48"/>
      <c r="H16" s="49"/>
    </row>
    <row r="17" spans="6:8" x14ac:dyDescent="0.25">
      <c r="F17" s="48"/>
      <c r="H17" s="49"/>
    </row>
    <row r="18" spans="6:8" x14ac:dyDescent="0.25">
      <c r="F18" s="48"/>
      <c r="H18" s="49"/>
    </row>
    <row r="19" spans="6:8" x14ac:dyDescent="0.25">
      <c r="F19" s="48"/>
      <c r="H19" s="49"/>
    </row>
    <row r="20" spans="6:8" x14ac:dyDescent="0.25">
      <c r="F20" s="48"/>
      <c r="H20" s="49"/>
    </row>
    <row r="21" spans="6:8" x14ac:dyDescent="0.25">
      <c r="F21" s="48"/>
      <c r="H21" s="49"/>
    </row>
    <row r="22" spans="6:8" x14ac:dyDescent="0.25">
      <c r="F22" s="48"/>
      <c r="H22" s="49"/>
    </row>
    <row r="23" spans="6:8" x14ac:dyDescent="0.25">
      <c r="F23" s="48"/>
      <c r="H23" s="49"/>
    </row>
    <row r="24" spans="6:8" x14ac:dyDescent="0.25">
      <c r="F24" s="48"/>
      <c r="H24" s="49"/>
    </row>
    <row r="25" spans="6:8" x14ac:dyDescent="0.25">
      <c r="F25" s="48"/>
      <c r="H25" s="49"/>
    </row>
    <row r="26" spans="6:8" x14ac:dyDescent="0.25">
      <c r="F26" s="48"/>
      <c r="H26" s="49"/>
    </row>
    <row r="27" spans="6:8" x14ac:dyDescent="0.25">
      <c r="F27" s="48"/>
      <c r="H27" s="49"/>
    </row>
    <row r="28" spans="6:8" x14ac:dyDescent="0.25">
      <c r="F28" s="48"/>
      <c r="H28" s="49"/>
    </row>
    <row r="29" spans="6:8" x14ac:dyDescent="0.25">
      <c r="F29" s="48"/>
      <c r="H29" s="49"/>
    </row>
    <row r="30" spans="6:8" x14ac:dyDescent="0.25">
      <c r="F30" s="48"/>
      <c r="H30" s="49"/>
    </row>
    <row r="31" spans="6:8" x14ac:dyDescent="0.25">
      <c r="F31" s="48"/>
      <c r="H31" s="49"/>
    </row>
    <row r="32" spans="6:8" x14ac:dyDescent="0.25">
      <c r="F32" s="48"/>
      <c r="H32" s="49"/>
    </row>
    <row r="33" spans="6:8" x14ac:dyDescent="0.25">
      <c r="F33" s="48"/>
      <c r="H33" s="49"/>
    </row>
    <row r="34" spans="6:8" x14ac:dyDescent="0.25">
      <c r="F34" s="48"/>
      <c r="H34" s="49"/>
    </row>
    <row r="35" spans="6:8" x14ac:dyDescent="0.25">
      <c r="F35" s="48"/>
      <c r="H35" s="49"/>
    </row>
    <row r="36" spans="6:8" x14ac:dyDescent="0.25">
      <c r="F36" s="48"/>
      <c r="H36" s="49"/>
    </row>
    <row r="37" spans="6:8" x14ac:dyDescent="0.25">
      <c r="F37" s="48"/>
      <c r="H37" s="49"/>
    </row>
    <row r="38" spans="6:8" x14ac:dyDescent="0.25">
      <c r="F38" s="48"/>
      <c r="H38" s="49"/>
    </row>
    <row r="39" spans="6:8" x14ac:dyDescent="0.25">
      <c r="F39" s="48"/>
      <c r="H39" s="49"/>
    </row>
    <row r="40" spans="6:8" x14ac:dyDescent="0.25">
      <c r="F40" s="48"/>
      <c r="H40" s="49"/>
    </row>
    <row r="41" spans="6:8" x14ac:dyDescent="0.25">
      <c r="F41" s="48"/>
      <c r="H41" s="49"/>
    </row>
    <row r="42" spans="6:8" x14ac:dyDescent="0.25">
      <c r="F42" s="48"/>
      <c r="H42" s="49"/>
    </row>
    <row r="43" spans="6:8" x14ac:dyDescent="0.25">
      <c r="F43" s="48"/>
      <c r="H43" s="49"/>
    </row>
    <row r="44" spans="6:8" x14ac:dyDescent="0.25">
      <c r="F44" s="48"/>
      <c r="H44" s="49"/>
    </row>
    <row r="45" spans="6:8" x14ac:dyDescent="0.25">
      <c r="F45" s="48"/>
      <c r="H45" s="49"/>
    </row>
    <row r="46" spans="6:8" x14ac:dyDescent="0.25">
      <c r="F46" s="48"/>
      <c r="H46" s="49"/>
    </row>
    <row r="47" spans="6:8" x14ac:dyDescent="0.25">
      <c r="F47" s="48"/>
      <c r="H47" s="49"/>
    </row>
    <row r="48" spans="6:8" x14ac:dyDescent="0.25">
      <c r="F48" s="48"/>
      <c r="H48" s="49"/>
    </row>
    <row r="49" spans="6:8" x14ac:dyDescent="0.25">
      <c r="F49" s="48"/>
      <c r="H49" s="49"/>
    </row>
    <row r="50" spans="6:8" x14ac:dyDescent="0.25">
      <c r="F50" s="48"/>
      <c r="H50" s="49"/>
    </row>
    <row r="51" spans="6:8" x14ac:dyDescent="0.25">
      <c r="F51" s="48"/>
      <c r="H51" s="49"/>
    </row>
    <row r="52" spans="6:8" x14ac:dyDescent="0.25">
      <c r="F52" s="48"/>
      <c r="H52" s="49"/>
    </row>
    <row r="53" spans="6:8" x14ac:dyDescent="0.25">
      <c r="F53" s="48"/>
      <c r="H53" s="49"/>
    </row>
    <row r="54" spans="6:8" x14ac:dyDescent="0.25">
      <c r="F54" s="48"/>
      <c r="H54" s="49"/>
    </row>
    <row r="55" spans="6:8" x14ac:dyDescent="0.25">
      <c r="F55" s="48"/>
      <c r="H55" s="49"/>
    </row>
    <row r="56" spans="6:8" x14ac:dyDescent="0.25">
      <c r="F56" s="48"/>
      <c r="H56" s="49"/>
    </row>
    <row r="57" spans="6:8" x14ac:dyDescent="0.25">
      <c r="F57" s="48"/>
      <c r="H57" s="49"/>
    </row>
    <row r="58" spans="6:8" x14ac:dyDescent="0.25">
      <c r="F58" s="48"/>
      <c r="H58" s="49"/>
    </row>
    <row r="59" spans="6:8" ht="15.75" thickBot="1" x14ac:dyDescent="0.3">
      <c r="F59" s="50"/>
      <c r="G59" s="51"/>
      <c r="H59" s="52"/>
    </row>
  </sheetData>
  <phoneticPr fontId="2" type="noConversion"/>
  <hyperlinks>
    <hyperlink ref="AI2" r:id="rId1" xr:uid="{A0B45C13-4160-4ECF-A1D0-03DEA6BA2D42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09369916-7A68-4F80-97A4-03E2638956D3}">
          <x14:formula1>
            <xm:f>led_tape.drop!$B$2:$B$25</xm:f>
          </x14:formula1>
          <xm:sqref>B2:B1048576</xm:sqref>
        </x14:dataValidation>
        <x14:dataValidation type="list" allowBlank="1" showInputMessage="1" showErrorMessage="1" xr:uid="{9D739B64-8B20-44D6-B42F-EB6B5CC4B393}">
          <x14:formula1>
            <xm:f>led_tape.drop!$A:$A</xm:f>
          </x14:formula1>
          <xm:sqref>A2:A1048576</xm:sqref>
        </x14:dataValidation>
        <x14:dataValidation type="list" allowBlank="1" showInputMessage="1" showErrorMessage="1" xr:uid="{5CD468FD-EC79-458E-97B0-C47EA92D755A}">
          <x14:formula1>
            <xm:f>led_tape.drop!$D:$D</xm:f>
          </x14:formula1>
          <xm:sqref>D2:D1048576</xm:sqref>
        </x14:dataValidation>
        <x14:dataValidation type="list" allowBlank="1" showInputMessage="1" showErrorMessage="1" xr:uid="{FDBA8938-1B4A-478E-9B84-59AF2790F717}">
          <x14:formula1>
            <xm:f>led_tape.drop!$F:$F</xm:f>
          </x14:formula1>
          <xm:sqref>F2:F1048576</xm:sqref>
        </x14:dataValidation>
        <x14:dataValidation type="list" allowBlank="1" showInputMessage="1" showErrorMessage="1" xr:uid="{E1E932F5-93E5-47EC-84E6-8EB521B91A55}">
          <x14:formula1>
            <xm:f>led_tape.drop!$I:$I</xm:f>
          </x14:formula1>
          <xm:sqref>I2:I1048576</xm:sqref>
        </x14:dataValidation>
        <x14:dataValidation type="list" allowBlank="1" showInputMessage="1" showErrorMessage="1" xr:uid="{B8495433-B5E2-4EBE-9429-39D31139A1BE}">
          <x14:formula1>
            <xm:f>led_tape.drop!$J:$J</xm:f>
          </x14:formula1>
          <xm:sqref>O2:O1048576 J2:J1048576</xm:sqref>
        </x14:dataValidation>
        <x14:dataValidation type="list" allowBlank="1" showInputMessage="1" showErrorMessage="1" xr:uid="{E51CA681-7150-4DBE-8BA3-9C783DD35485}">
          <x14:formula1>
            <xm:f>led_tape.drop!$O:$O</xm:f>
          </x14:formula1>
          <xm:sqref>P2:P1048576</xm:sqref>
        </x14:dataValidation>
        <x14:dataValidation type="list" allowBlank="1" showInputMessage="1" showErrorMessage="1" xr:uid="{E8847185-97AE-4EBA-920C-3675708CE02E}">
          <x14:formula1>
            <xm:f>led_tape.drop!$Q:$Q</xm:f>
          </x14:formula1>
          <xm:sqref>R2:R1048576</xm:sqref>
        </x14:dataValidation>
        <x14:dataValidation type="list" allowBlank="1" showInputMessage="1" showErrorMessage="1" xr:uid="{A4C41671-6CCD-4D82-8EF7-89ED34E7B1AC}">
          <x14:formula1>
            <xm:f>led_tape.drop!$R:$R</xm:f>
          </x14:formula1>
          <xm:sqref>S2:S1048576</xm:sqref>
        </x14:dataValidation>
        <x14:dataValidation type="list" allowBlank="1" showInputMessage="1" showErrorMessage="1" xr:uid="{17DC56EC-2354-4AA5-A019-CB572477C9BA}">
          <x14:formula1>
            <xm:f>led_tape.drop!$S:$S</xm:f>
          </x14:formula1>
          <xm:sqref>T2:T1048576</xm:sqref>
        </x14:dataValidation>
        <x14:dataValidation type="list" allowBlank="1" showInputMessage="1" showErrorMessage="1" xr:uid="{F96D1FDF-330C-4ED1-8866-17F4DF56D059}">
          <x14:formula1>
            <xm:f>led_tape.drop!$T:$T</xm:f>
          </x14:formula1>
          <xm:sqref>U2:U1048576</xm:sqref>
        </x14:dataValidation>
        <x14:dataValidation type="list" allowBlank="1" showInputMessage="1" showErrorMessage="1" xr:uid="{D045B359-9317-4911-876F-2D5518DDBEF3}">
          <x14:formula1>
            <xm:f>led_tape.drop!$V:$V</xm:f>
          </x14:formula1>
          <xm:sqref>W2:W1048576</xm:sqref>
        </x14:dataValidation>
        <x14:dataValidation type="list" allowBlank="1" showInputMessage="1" showErrorMessage="1" xr:uid="{14130712-6393-4607-9922-09C18631D4E7}">
          <x14:formula1>
            <xm:f>led_tape.drop!$U:$U</xm:f>
          </x14:formula1>
          <xm:sqref>V2:V1048576</xm:sqref>
        </x14:dataValidation>
        <x14:dataValidation type="list" allowBlank="1" showInputMessage="1" showErrorMessage="1" xr:uid="{1BDB2FE2-B3B1-4600-B481-DBF3B0A5ADA5}">
          <x14:formula1>
            <xm:f>led_tape.drop!$Y:$Y</xm:f>
          </x14:formula1>
          <xm:sqref>AC2:AC1048576</xm:sqref>
        </x14:dataValidation>
        <x14:dataValidation type="list" allowBlank="1" showInputMessage="1" showErrorMessage="1" xr:uid="{F74CC596-40CF-4ED4-A01F-74E10D52586A}">
          <x14:formula1>
            <xm:f>led_tape.drop!$Z:$Z</xm:f>
          </x14:formula1>
          <xm:sqref>AD2:AD1048576</xm:sqref>
        </x14:dataValidation>
        <x14:dataValidation type="list" allowBlank="1" showInputMessage="1" showErrorMessage="1" xr:uid="{AC66B5D0-B963-41F4-B108-C59B5B6BACD6}">
          <x14:formula1>
            <xm:f>led_tape.drop!$AC:$AC</xm:f>
          </x14:formula1>
          <xm:sqref>AG2:AG1048576</xm:sqref>
        </x14:dataValidation>
        <x14:dataValidation type="list" allowBlank="1" showInputMessage="1" showErrorMessage="1" xr:uid="{27C2D643-A480-4C79-8F7E-47D3F06E9329}">
          <x14:formula1>
            <xm:f>led_tape.drop!$AD:$AD</xm:f>
          </x14:formula1>
          <xm:sqref>AH2:AH1048576</xm:sqref>
        </x14:dataValidation>
        <x14:dataValidation type="list" allowBlank="1" showInputMessage="1" showErrorMessage="1" xr:uid="{686D593A-6AC8-456F-AC31-15A30996B0E5}">
          <x14:formula1>
            <xm:f>led_tape.drop!$AF:$AF</xm:f>
          </x14:formula1>
          <xm:sqref>AJ2:AJ1048576</xm:sqref>
        </x14:dataValidation>
        <x14:dataValidation type="list" allowBlank="1" showInputMessage="1" showErrorMessage="1" xr:uid="{0C14A467-B6DB-4E96-AB5B-55DEE2B89E47}">
          <x14:formula1>
            <xm:f>led_tape.drop!$AG:$AG</xm:f>
          </x14:formula1>
          <xm:sqref>AK2:AK1048576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5438-24E5-4135-9EEB-65CA6FEB0EA0}">
  <sheetPr codeName="Sheet4"/>
  <dimension ref="A1:V35"/>
  <sheetViews>
    <sheetView workbookViewId="0">
      <selection activeCell="V2" sqref="V2"/>
    </sheetView>
  </sheetViews>
  <sheetFormatPr defaultRowHeight="15" x14ac:dyDescent="0.25"/>
  <cols>
    <col min="1" max="1" width="14.28515625" customWidth="1"/>
    <col min="2" max="2" width="15.28515625" customWidth="1"/>
    <col min="3" max="3" width="17" customWidth="1"/>
    <col min="4" max="7" width="10.5703125" customWidth="1"/>
    <col min="8" max="8" width="13" customWidth="1"/>
    <col min="9" max="13" width="10.5703125" customWidth="1"/>
    <col min="14" max="14" width="10.28515625" customWidth="1"/>
    <col min="15" max="15" width="15" customWidth="1"/>
    <col min="16" max="16" width="14.140625" customWidth="1"/>
    <col min="17" max="17" width="9.28515625" customWidth="1"/>
    <col min="18" max="18" width="11.28515625" customWidth="1"/>
    <col min="19" max="19" width="18.85546875" customWidth="1"/>
    <col min="20" max="20" width="17.140625" customWidth="1"/>
    <col min="21" max="21" width="18.85546875" style="16" customWidth="1"/>
    <col min="22" max="22" width="34.28515625" customWidth="1"/>
  </cols>
  <sheetData>
    <row r="1" spans="1:22" ht="16.5" thickTop="1" thickBot="1" x14ac:dyDescent="0.3">
      <c r="A1" s="33" t="s">
        <v>1</v>
      </c>
      <c r="B1" s="26" t="s">
        <v>218</v>
      </c>
      <c r="C1" s="28" t="s">
        <v>200</v>
      </c>
      <c r="D1" s="28" t="s">
        <v>201</v>
      </c>
      <c r="E1" s="26" t="s">
        <v>219</v>
      </c>
      <c r="F1" s="26" t="s">
        <v>220</v>
      </c>
      <c r="G1" s="28" t="s">
        <v>341</v>
      </c>
      <c r="H1" s="28" t="s">
        <v>342</v>
      </c>
      <c r="I1" s="26" t="s">
        <v>208</v>
      </c>
      <c r="J1" s="28" t="s">
        <v>343</v>
      </c>
      <c r="K1" s="28" t="s">
        <v>61</v>
      </c>
      <c r="L1" s="28" t="s">
        <v>15</v>
      </c>
      <c r="M1" s="28" t="s">
        <v>205</v>
      </c>
      <c r="N1" s="26" t="s">
        <v>204</v>
      </c>
      <c r="O1" s="31" t="s">
        <v>20</v>
      </c>
      <c r="P1" s="31" t="s">
        <v>338</v>
      </c>
      <c r="Q1" s="31" t="s">
        <v>21</v>
      </c>
      <c r="R1" s="26" t="s">
        <v>8</v>
      </c>
      <c r="S1" s="26" t="s">
        <v>9</v>
      </c>
      <c r="T1" s="54" t="s">
        <v>7</v>
      </c>
      <c r="U1" s="55" t="s">
        <v>303</v>
      </c>
      <c r="V1" s="32" t="s">
        <v>207</v>
      </c>
    </row>
    <row r="2" spans="1:22" ht="15.75" thickTop="1" x14ac:dyDescent="0.25">
      <c r="A2" t="s">
        <v>1</v>
      </c>
      <c r="B2" t="s">
        <v>218</v>
      </c>
      <c r="C2" t="s">
        <v>279</v>
      </c>
      <c r="D2" t="s">
        <v>278</v>
      </c>
      <c r="E2" t="s">
        <v>212</v>
      </c>
      <c r="F2" t="s">
        <v>215</v>
      </c>
      <c r="G2">
        <v>240</v>
      </c>
      <c r="H2">
        <v>20</v>
      </c>
      <c r="I2">
        <v>2</v>
      </c>
      <c r="K2" t="s">
        <v>280</v>
      </c>
      <c r="L2" t="s">
        <v>281</v>
      </c>
      <c r="M2" t="s">
        <v>154</v>
      </c>
      <c r="N2" t="s">
        <v>246</v>
      </c>
      <c r="O2" s="39" t="s">
        <v>285</v>
      </c>
      <c r="P2" s="39"/>
      <c r="Q2" t="s">
        <v>286</v>
      </c>
      <c r="R2" t="s">
        <v>90</v>
      </c>
      <c r="S2" t="s">
        <v>90</v>
      </c>
      <c r="T2" s="40">
        <v>100</v>
      </c>
      <c r="U2" s="56">
        <v>45959.722256944442</v>
      </c>
      <c r="V2" s="19" t="s">
        <v>287</v>
      </c>
    </row>
    <row r="3" spans="1:22" x14ac:dyDescent="0.25">
      <c r="U3" s="56"/>
      <c r="V3" s="21"/>
    </row>
    <row r="4" spans="1:22" x14ac:dyDescent="0.25">
      <c r="V4" s="19"/>
    </row>
    <row r="5" spans="1:22" x14ac:dyDescent="0.25">
      <c r="V5" s="21"/>
    </row>
    <row r="6" spans="1:22" x14ac:dyDescent="0.25">
      <c r="V6" s="19"/>
    </row>
    <row r="7" spans="1:22" x14ac:dyDescent="0.25">
      <c r="V7" s="21"/>
    </row>
    <row r="8" spans="1:22" x14ac:dyDescent="0.25">
      <c r="V8" s="19"/>
    </row>
    <row r="9" spans="1:22" x14ac:dyDescent="0.25">
      <c r="V9" s="21"/>
    </row>
    <row r="10" spans="1:22" x14ac:dyDescent="0.25">
      <c r="V10" s="19"/>
    </row>
    <row r="11" spans="1:22" x14ac:dyDescent="0.25">
      <c r="V11" s="21"/>
    </row>
    <row r="12" spans="1:22" x14ac:dyDescent="0.25">
      <c r="V12" s="19"/>
    </row>
    <row r="13" spans="1:22" x14ac:dyDescent="0.25">
      <c r="V13" s="21"/>
    </row>
    <row r="14" spans="1:22" x14ac:dyDescent="0.25">
      <c r="V14" s="19"/>
    </row>
    <row r="15" spans="1:22" x14ac:dyDescent="0.25">
      <c r="V15" s="21"/>
    </row>
    <row r="16" spans="1:22" x14ac:dyDescent="0.25">
      <c r="V16" s="19"/>
    </row>
    <row r="17" spans="22:22" x14ac:dyDescent="0.25">
      <c r="V17" s="21"/>
    </row>
    <row r="18" spans="22:22" x14ac:dyDescent="0.25">
      <c r="V18" s="19"/>
    </row>
    <row r="19" spans="22:22" x14ac:dyDescent="0.25">
      <c r="V19" s="21"/>
    </row>
    <row r="20" spans="22:22" x14ac:dyDescent="0.25">
      <c r="V20" s="19"/>
    </row>
    <row r="21" spans="22:22" x14ac:dyDescent="0.25">
      <c r="V21" s="21"/>
    </row>
    <row r="22" spans="22:22" x14ac:dyDescent="0.25">
      <c r="V22" s="19"/>
    </row>
    <row r="23" spans="22:22" x14ac:dyDescent="0.25">
      <c r="V23" s="21"/>
    </row>
    <row r="24" spans="22:22" x14ac:dyDescent="0.25">
      <c r="V24" s="19"/>
    </row>
    <row r="25" spans="22:22" x14ac:dyDescent="0.25">
      <c r="V25" s="21"/>
    </row>
    <row r="26" spans="22:22" x14ac:dyDescent="0.25">
      <c r="V26" s="19"/>
    </row>
    <row r="27" spans="22:22" x14ac:dyDescent="0.25">
      <c r="V27" s="21"/>
    </row>
    <row r="28" spans="22:22" x14ac:dyDescent="0.25">
      <c r="V28" s="19"/>
    </row>
    <row r="29" spans="22:22" x14ac:dyDescent="0.25">
      <c r="V29" s="21"/>
    </row>
    <row r="30" spans="22:22" x14ac:dyDescent="0.25">
      <c r="V30" s="19"/>
    </row>
    <row r="31" spans="22:22" x14ac:dyDescent="0.25">
      <c r="V31" s="21"/>
    </row>
    <row r="32" spans="22:22" x14ac:dyDescent="0.25">
      <c r="V32" s="19"/>
    </row>
    <row r="33" spans="22:22" x14ac:dyDescent="0.25">
      <c r="V33" s="21"/>
    </row>
    <row r="34" spans="22:22" x14ac:dyDescent="0.25">
      <c r="V34" s="19"/>
    </row>
    <row r="35" spans="22:22" x14ac:dyDescent="0.25">
      <c r="V35" s="2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4578F8C-0975-406A-8251-CCA8DE821407}">
          <x14:formula1>
            <xm:f>psu_data.drop!$A:$A</xm:f>
          </x14:formula1>
          <xm:sqref>A2:A1048576</xm:sqref>
        </x14:dataValidation>
        <x14:dataValidation type="list" allowBlank="1" showInputMessage="1" showErrorMessage="1" xr:uid="{DD03CFAE-B7CA-468A-8C38-225E30EC70F9}">
          <x14:formula1>
            <xm:f>psu_data.drop!$B:$B</xm:f>
          </x14:formula1>
          <xm:sqref>B36:B1048576 E2:F35</xm:sqref>
        </x14:dataValidation>
        <x14:dataValidation type="list" allowBlank="1" showInputMessage="1" showErrorMessage="1" xr:uid="{E88E8299-CE3A-4C6A-94B8-4AB3878C22DE}">
          <x14:formula1>
            <xm:f>psu_data.drop!$C:$C</xm:f>
          </x14:formula1>
          <xm:sqref>C36:C1048576 F2:F35</xm:sqref>
        </x14:dataValidation>
        <x14:dataValidation type="list" allowBlank="1" showInputMessage="1" showErrorMessage="1" xr:uid="{605D0EF8-A77A-4B34-9490-BA0B4E997182}">
          <x14:formula1>
            <xm:f>psu_data.drop!$I:$I</xm:f>
          </x14:formula1>
          <xm:sqref>I2:I1048576</xm:sqref>
        </x14:dataValidation>
        <x14:dataValidation type="list" allowBlank="1" showInputMessage="1" showErrorMessage="1" xr:uid="{52A22769-EC6F-4314-B79D-8798D59A3407}">
          <x14:formula1>
            <xm:f>psu_data.drop!$G:$G</xm:f>
          </x14:formula1>
          <xm:sqref>G36:G1048576 B2:B35</xm:sqref>
        </x14:dataValidation>
        <x14:dataValidation type="list" allowBlank="1" showInputMessage="1" showErrorMessage="1" xr:uid="{7DEE3785-840F-4A83-A10E-83E65145F81D}">
          <x14:formula1>
            <xm:f>psu_data.drop!$N:$N</xm:f>
          </x14:formula1>
          <xm:sqref>O36:O1048576 R2:R35</xm:sqref>
        </x14:dataValidation>
        <x14:dataValidation type="list" allowBlank="1" showInputMessage="1" showErrorMessage="1" xr:uid="{94E114E8-D3CF-48E7-9959-D62CC65F4D57}">
          <x14:formula1>
            <xm:f>psu_data.drop!$O:$O</xm:f>
          </x14:formula1>
          <xm:sqref>P36:P1048576 S2:S35</xm:sqref>
        </x14:dataValidation>
        <x14:dataValidation type="list" allowBlank="1" showInputMessage="1" showErrorMessage="1" xr:uid="{4991A2B0-F9DB-49FE-8529-7708F3E00D39}">
          <x14:formula1>
            <xm:f>psu_data.drop!$S:$S</xm:f>
          </x14:formula1>
          <xm:sqref>N2:N35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38D6-6453-4535-9665-F9461840D433}">
  <sheetPr codeName="Sheet5"/>
  <dimension ref="A1:Z2"/>
  <sheetViews>
    <sheetView workbookViewId="0">
      <selection activeCell="M23" sqref="M23"/>
    </sheetView>
  </sheetViews>
  <sheetFormatPr defaultRowHeight="15" x14ac:dyDescent="0.25"/>
  <cols>
    <col min="1" max="1" width="15.7109375" customWidth="1"/>
    <col min="2" max="2" width="13.140625" customWidth="1"/>
    <col min="3" max="3" width="23.140625" customWidth="1"/>
    <col min="4" max="4" width="22.28515625" customWidth="1"/>
    <col min="5" max="5" width="16.7109375" customWidth="1"/>
    <col min="6" max="6" width="14.42578125" customWidth="1"/>
    <col min="7" max="7" width="12.28515625" customWidth="1"/>
    <col min="9" max="9" width="13.7109375" customWidth="1"/>
    <col min="10" max="10" width="17.42578125" customWidth="1"/>
    <col min="11" max="11" width="18.140625" customWidth="1"/>
    <col min="12" max="12" width="22.28515625" customWidth="1"/>
    <col min="13" max="13" width="17.85546875" customWidth="1"/>
    <col min="14" max="14" width="21" customWidth="1"/>
    <col min="15" max="15" width="19.42578125" customWidth="1"/>
    <col min="16" max="16" width="15" customWidth="1"/>
    <col min="17" max="17" width="11.5703125" customWidth="1"/>
    <col min="18" max="18" width="15" customWidth="1"/>
    <col min="19" max="20" width="12" customWidth="1"/>
    <col min="21" max="22" width="16.42578125" customWidth="1"/>
    <col min="23" max="24" width="11.42578125" customWidth="1"/>
    <col min="25" max="25" width="11.7109375" customWidth="1"/>
    <col min="26" max="26" width="25.140625" customWidth="1"/>
  </cols>
  <sheetData>
    <row r="1" spans="1:26" ht="16.5" thickTop="1" thickBot="1" x14ac:dyDescent="0.3">
      <c r="A1" s="26" t="s">
        <v>1</v>
      </c>
      <c r="B1" s="28" t="s">
        <v>218</v>
      </c>
      <c r="C1" s="28" t="s">
        <v>200</v>
      </c>
      <c r="D1" s="28" t="s">
        <v>201</v>
      </c>
      <c r="E1" s="26" t="s">
        <v>219</v>
      </c>
      <c r="F1" s="26" t="s">
        <v>220</v>
      </c>
      <c r="G1" s="28" t="s">
        <v>344</v>
      </c>
      <c r="H1" s="26" t="s">
        <v>222</v>
      </c>
      <c r="I1" s="28" t="s">
        <v>7</v>
      </c>
      <c r="J1" s="53" t="s">
        <v>303</v>
      </c>
      <c r="K1" s="31" t="s">
        <v>20</v>
      </c>
      <c r="L1" s="31" t="s">
        <v>21</v>
      </c>
      <c r="M1" s="26" t="s">
        <v>8</v>
      </c>
      <c r="N1" s="26" t="s">
        <v>9</v>
      </c>
      <c r="O1" s="28" t="s">
        <v>345</v>
      </c>
      <c r="P1" s="28" t="s">
        <v>346</v>
      </c>
      <c r="Q1" s="26" t="s">
        <v>347</v>
      </c>
      <c r="R1" s="26" t="s">
        <v>226</v>
      </c>
      <c r="S1" s="26" t="s">
        <v>348</v>
      </c>
      <c r="T1" s="26" t="s">
        <v>349</v>
      </c>
      <c r="U1" s="26" t="s">
        <v>229</v>
      </c>
      <c r="V1" s="28" t="s">
        <v>14</v>
      </c>
      <c r="W1" s="28" t="s">
        <v>61</v>
      </c>
      <c r="X1" s="28" t="s">
        <v>205</v>
      </c>
      <c r="Y1" s="28" t="s">
        <v>15</v>
      </c>
      <c r="Z1" s="32" t="s">
        <v>207</v>
      </c>
    </row>
    <row r="2" spans="1:26" ht="15.75" thickTop="1" x14ac:dyDescent="0.25">
      <c r="A2" t="s">
        <v>230</v>
      </c>
      <c r="B2" t="s">
        <v>288</v>
      </c>
      <c r="C2" t="s">
        <v>289</v>
      </c>
      <c r="D2" t="s">
        <v>290</v>
      </c>
      <c r="E2" t="s">
        <v>216</v>
      </c>
      <c r="F2" t="s">
        <v>291</v>
      </c>
      <c r="G2">
        <v>10</v>
      </c>
      <c r="H2" t="s">
        <v>91</v>
      </c>
      <c r="I2" s="40">
        <v>3</v>
      </c>
      <c r="J2" s="42">
        <v>45958.678657407407</v>
      </c>
      <c r="K2" t="s">
        <v>292</v>
      </c>
      <c r="L2" t="s">
        <v>293</v>
      </c>
      <c r="M2" t="s">
        <v>90</v>
      </c>
      <c r="N2" t="s">
        <v>90</v>
      </c>
      <c r="O2">
        <v>1</v>
      </c>
      <c r="P2">
        <v>1080</v>
      </c>
      <c r="Q2">
        <v>1</v>
      </c>
      <c r="R2" t="s">
        <v>248</v>
      </c>
      <c r="S2" t="s">
        <v>294</v>
      </c>
      <c r="T2" t="s">
        <v>252</v>
      </c>
      <c r="U2" t="s">
        <v>254</v>
      </c>
      <c r="V2" t="s">
        <v>295</v>
      </c>
      <c r="W2" t="s">
        <v>280</v>
      </c>
      <c r="X2" t="s">
        <v>154</v>
      </c>
      <c r="Y2" t="s">
        <v>280</v>
      </c>
      <c r="Z2" t="s">
        <v>296</v>
      </c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52B6973-3979-4D29-97B2-73E639655F53}">
          <x14:formula1>
            <xm:f>'ctrlr.drop'!$A:$A</xm:f>
          </x14:formula1>
          <xm:sqref>A2:A1048576</xm:sqref>
        </x14:dataValidation>
        <x14:dataValidation type="list" allowBlank="1" showInputMessage="1" showErrorMessage="1" xr:uid="{F5C3A03D-096E-4F9F-A5B6-72C0D722796B}">
          <x14:formula1>
            <xm:f>'ctrlr.drop'!$E:$E</xm:f>
          </x14:formula1>
          <xm:sqref>E2:E1048576</xm:sqref>
        </x14:dataValidation>
        <x14:dataValidation type="list" allowBlank="1" showInputMessage="1" showErrorMessage="1" xr:uid="{56CF59B4-FCEA-4ECF-B030-14CA97949618}">
          <x14:formula1>
            <xm:f>'ctrlr.drop'!$F:$F</xm:f>
          </x14:formula1>
          <xm:sqref>F2:F1048576</xm:sqref>
        </x14:dataValidation>
        <x14:dataValidation type="list" allowBlank="1" showInputMessage="1" showErrorMessage="1" xr:uid="{D812DAC6-F04A-4C72-9409-2C80F7036993}">
          <x14:formula1>
            <xm:f>'ctrlr.drop'!$H:$H</xm:f>
          </x14:formula1>
          <xm:sqref>H2:H1048576</xm:sqref>
        </x14:dataValidation>
        <x14:dataValidation type="list" allowBlank="1" showInputMessage="1" showErrorMessage="1" xr:uid="{DB668B30-48CB-445C-8EEC-8746355F04E5}">
          <x14:formula1>
            <xm:f>'ctrlr.drop'!$K:$K</xm:f>
          </x14:formula1>
          <xm:sqref>M2:M1048576</xm:sqref>
        </x14:dataValidation>
        <x14:dataValidation type="list" allowBlank="1" showInputMessage="1" showErrorMessage="1" xr:uid="{2D7C95B4-8D76-48D8-B0C1-AA8C7FA28995}">
          <x14:formula1>
            <xm:f>'ctrlr.drop'!$L:$L</xm:f>
          </x14:formula1>
          <xm:sqref>N2:N1048576</xm:sqref>
        </x14:dataValidation>
        <x14:dataValidation type="list" allowBlank="1" showInputMessage="1" showErrorMessage="1" xr:uid="{EFBF0384-34AF-4F77-9294-7E34784184C4}">
          <x14:formula1>
            <xm:f>'ctrlr.drop'!$P:$P</xm:f>
          </x14:formula1>
          <xm:sqref>Q2:Q1048576</xm:sqref>
        </x14:dataValidation>
        <x14:dataValidation type="list" allowBlank="1" showInputMessage="1" showErrorMessage="1" xr:uid="{9F847576-1AEC-41E3-82BF-17652ED0FB3D}">
          <x14:formula1>
            <xm:f>'ctrlr.drop'!$Q:$Q</xm:f>
          </x14:formula1>
          <xm:sqref>R2:R1048576</xm:sqref>
        </x14:dataValidation>
        <x14:dataValidation type="list" allowBlank="1" showInputMessage="1" showErrorMessage="1" xr:uid="{6DC5A788-1D15-4492-AC2C-4ACE47FFE2BE}">
          <x14:formula1>
            <xm:f>'ctrlr.drop'!$R:$R</xm:f>
          </x14:formula1>
          <xm:sqref>S2:T1048576</xm:sqref>
        </x14:dataValidation>
        <x14:dataValidation type="list" allowBlank="1" showInputMessage="1" showErrorMessage="1" xr:uid="{0323BFB8-F86B-4A0B-8600-46EA485E163E}">
          <x14:formula1>
            <xm:f>'ctrlr.drop'!$S:$S</xm:f>
          </x14:formula1>
          <xm:sqref>U2:U1048576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C857C-9856-4405-98A0-0FAB67675761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D378F-6EA3-4B44-913B-49DCED564A35}">
  <sheetPr codeName="Sheet6"/>
  <dimension ref="A1:O2"/>
  <sheetViews>
    <sheetView workbookViewId="0">
      <selection activeCell="O2" sqref="O2"/>
    </sheetView>
  </sheetViews>
  <sheetFormatPr defaultRowHeight="15" x14ac:dyDescent="0.25"/>
  <cols>
    <col min="1" max="1" width="17" customWidth="1"/>
    <col min="2" max="2" width="38.5703125" customWidth="1"/>
    <col min="3" max="3" width="35.42578125" customWidth="1"/>
    <col min="4" max="4" width="15.5703125" customWidth="1"/>
    <col min="5" max="5" width="31.85546875" customWidth="1"/>
    <col min="6" max="6" width="34.7109375" customWidth="1"/>
    <col min="9" max="9" width="10.5703125" customWidth="1"/>
    <col min="10" max="10" width="13" customWidth="1"/>
    <col min="11" max="11" width="16.85546875" customWidth="1"/>
    <col min="12" max="12" width="16.7109375" customWidth="1"/>
    <col min="13" max="13" width="17" customWidth="1"/>
    <col min="14" max="14" width="21.28515625" customWidth="1"/>
    <col min="15" max="15" width="61" customWidth="1"/>
  </cols>
  <sheetData>
    <row r="1" spans="1:15" ht="16.5" thickTop="1" thickBot="1" x14ac:dyDescent="0.3">
      <c r="A1" s="26" t="s">
        <v>1</v>
      </c>
      <c r="B1" s="26" t="s">
        <v>218</v>
      </c>
      <c r="C1" s="28" t="s">
        <v>200</v>
      </c>
      <c r="D1" s="26" t="s">
        <v>226</v>
      </c>
      <c r="E1" s="28" t="s">
        <v>201</v>
      </c>
      <c r="F1" s="32" t="s">
        <v>259</v>
      </c>
      <c r="G1" s="26" t="s">
        <v>219</v>
      </c>
      <c r="H1" s="26" t="s">
        <v>220</v>
      </c>
      <c r="I1" s="28" t="s">
        <v>341</v>
      </c>
      <c r="J1" s="28" t="s">
        <v>7</v>
      </c>
      <c r="K1" s="53" t="s">
        <v>303</v>
      </c>
      <c r="L1" s="28" t="s">
        <v>350</v>
      </c>
      <c r="M1" s="31" t="s">
        <v>20</v>
      </c>
      <c r="N1" s="31" t="s">
        <v>21</v>
      </c>
      <c r="O1" s="32" t="s">
        <v>207</v>
      </c>
    </row>
    <row r="2" spans="1:15" ht="15.75" thickTop="1" x14ac:dyDescent="0.25">
      <c r="A2" t="s">
        <v>351</v>
      </c>
      <c r="B2" t="s">
        <v>353</v>
      </c>
      <c r="C2" t="s">
        <v>354</v>
      </c>
      <c r="D2" t="s">
        <v>352</v>
      </c>
      <c r="E2" t="s">
        <v>355</v>
      </c>
      <c r="F2" t="s">
        <v>356</v>
      </c>
      <c r="G2" t="s">
        <v>210</v>
      </c>
      <c r="H2" t="s">
        <v>357</v>
      </c>
      <c r="I2">
        <v>34.5</v>
      </c>
      <c r="J2" s="40">
        <v>71.12</v>
      </c>
      <c r="K2" s="42">
        <v>45959.729861111111</v>
      </c>
      <c r="L2">
        <v>1</v>
      </c>
      <c r="M2" t="s">
        <v>358</v>
      </c>
      <c r="N2" t="s">
        <v>357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ACFDF70-5411-492D-BFAB-4E4781D3C9D4}">
          <x14:formula1>
            <xm:f>gen_db.drop!$A:$A</xm:f>
          </x14:formula1>
          <xm:sqref>A2:A1048576</xm:sqref>
        </x14:dataValidation>
        <x14:dataValidation type="list" allowBlank="1" showInputMessage="1" showErrorMessage="1" xr:uid="{875C9460-E01F-4A57-B7A5-75690C063635}">
          <x14:formula1>
            <xm:f>gen_db.drop!$D:$D</xm:f>
          </x14:formula1>
          <xm:sqref>D2:D1048576</xm:sqref>
        </x14:dataValidation>
        <x14:dataValidation type="list" allowBlank="1" showInputMessage="1" showErrorMessage="1" xr:uid="{8D37A3D4-3C14-46CE-A4EA-AA8CC2304E0B}">
          <x14:formula1>
            <xm:f>gen_db.drop!$G:$G</xm:f>
          </x14:formula1>
          <xm:sqref>G2:G1048576</xm:sqref>
        </x14:dataValidation>
        <x14:dataValidation type="list" allowBlank="1" showInputMessage="1" showErrorMessage="1" xr:uid="{8CDA2E9D-9790-43FB-86B3-A6EE6C71AB4F}">
          <x14:formula1>
            <xm:f>gen_db.drop!$H:$H</xm:f>
          </x14:formula1>
          <xm:sqref>H2:H1048576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3C77-E117-4400-A346-CA39631D8F90}">
  <sheetPr codeName="Sheet7"/>
  <dimension ref="A1:AG48"/>
  <sheetViews>
    <sheetView workbookViewId="0">
      <selection activeCell="Z28" sqref="Z28"/>
    </sheetView>
  </sheetViews>
  <sheetFormatPr defaultRowHeight="15" x14ac:dyDescent="0.25"/>
  <cols>
    <col min="1" max="1" width="24.140625" customWidth="1"/>
    <col min="2" max="2" width="18.7109375" customWidth="1"/>
    <col min="3" max="3" width="75.28515625" hidden="1" customWidth="1"/>
    <col min="4" max="4" width="21.85546875" customWidth="1"/>
    <col min="5" max="5" width="23.140625" hidden="1" customWidth="1"/>
    <col min="6" max="6" width="13.7109375" customWidth="1"/>
    <col min="7" max="7" width="16.28515625" hidden="1" customWidth="1"/>
    <col min="8" max="8" width="14.42578125" hidden="1" customWidth="1"/>
    <col min="9" max="9" width="14.42578125" customWidth="1"/>
    <col min="10" max="10" width="14" customWidth="1"/>
    <col min="11" max="11" width="13.42578125" hidden="1" customWidth="1"/>
    <col min="12" max="12" width="15.5703125" hidden="1" customWidth="1"/>
    <col min="13" max="13" width="19.140625" hidden="1" customWidth="1"/>
    <col min="14" max="14" width="19.140625" customWidth="1"/>
    <col min="15" max="15" width="17.28515625" customWidth="1"/>
    <col min="16" max="16" width="15.85546875" hidden="1" customWidth="1"/>
    <col min="17" max="17" width="18.140625" customWidth="1"/>
    <col min="18" max="18" width="14.85546875" customWidth="1"/>
    <col min="19" max="19" width="14.7109375" customWidth="1"/>
    <col min="20" max="20" width="16" customWidth="1"/>
    <col min="21" max="21" width="11" customWidth="1"/>
    <col min="22" max="22" width="14.85546875" customWidth="1"/>
    <col min="23" max="23" width="15.42578125" hidden="1" customWidth="1"/>
    <col min="24" max="24" width="18.42578125" hidden="1" customWidth="1"/>
    <col min="25" max="25" width="19.42578125" customWidth="1"/>
    <col min="26" max="26" width="19.28515625" customWidth="1"/>
    <col min="27" max="27" width="9.85546875" hidden="1" customWidth="1"/>
    <col min="28" max="28" width="9.5703125" hidden="1" customWidth="1"/>
    <col min="29" max="29" width="12.42578125" customWidth="1"/>
    <col min="30" max="30" width="15.7109375" customWidth="1"/>
    <col min="31" max="31" width="18.42578125" hidden="1" customWidth="1"/>
    <col min="32" max="32" width="10.85546875" customWidth="1"/>
    <col min="33" max="33" width="15.5703125" customWidth="1"/>
    <col min="34" max="34" width="15.7109375" customWidth="1"/>
  </cols>
  <sheetData>
    <row r="1" spans="1:33" ht="16.5" thickTop="1" thickBot="1" x14ac:dyDescent="0.3">
      <c r="A1" s="25" t="s">
        <v>1</v>
      </c>
      <c r="B1" s="25" t="s">
        <v>10</v>
      </c>
      <c r="C1" s="25" t="s">
        <v>0</v>
      </c>
      <c r="D1" s="25" t="s">
        <v>28</v>
      </c>
      <c r="E1" s="25" t="s">
        <v>2</v>
      </c>
      <c r="F1" s="25" t="s">
        <v>3</v>
      </c>
      <c r="G1" s="25" t="s">
        <v>4</v>
      </c>
      <c r="H1" s="25" t="s">
        <v>5</v>
      </c>
      <c r="I1" s="25" t="s">
        <v>6</v>
      </c>
      <c r="J1" s="25" t="s">
        <v>165</v>
      </c>
      <c r="K1" s="25" t="s">
        <v>7</v>
      </c>
      <c r="L1" s="25" t="s">
        <v>12</v>
      </c>
      <c r="M1" s="25" t="s">
        <v>13</v>
      </c>
      <c r="N1" s="25" t="s">
        <v>166</v>
      </c>
      <c r="O1" s="25" t="s">
        <v>15</v>
      </c>
      <c r="P1" s="25" t="s">
        <v>14</v>
      </c>
      <c r="Q1" s="25" t="s">
        <v>16</v>
      </c>
      <c r="R1" s="25" t="s">
        <v>17</v>
      </c>
      <c r="S1" s="25" t="s">
        <v>18</v>
      </c>
      <c r="T1" s="25" t="s">
        <v>19</v>
      </c>
      <c r="U1" s="25" t="s">
        <v>23</v>
      </c>
      <c r="V1" s="25" t="s">
        <v>24</v>
      </c>
      <c r="W1" s="25" t="s">
        <v>25</v>
      </c>
      <c r="X1" s="25" t="s">
        <v>31</v>
      </c>
      <c r="Y1" s="25" t="s">
        <v>26</v>
      </c>
      <c r="Z1" s="25" t="s">
        <v>27</v>
      </c>
      <c r="AA1" s="25" t="s">
        <v>20</v>
      </c>
      <c r="AB1" s="25" t="s">
        <v>21</v>
      </c>
      <c r="AC1" s="25" t="s">
        <v>8</v>
      </c>
      <c r="AD1" s="25" t="s">
        <v>9</v>
      </c>
      <c r="AE1" s="25" t="s">
        <v>22</v>
      </c>
      <c r="AF1" s="25" t="s">
        <v>29</v>
      </c>
      <c r="AG1" s="25" t="s">
        <v>11</v>
      </c>
    </row>
    <row r="2" spans="1:33" ht="15.75" thickTop="1" x14ac:dyDescent="0.25">
      <c r="A2" s="35" t="s">
        <v>32</v>
      </c>
      <c r="B2" s="35" t="s">
        <v>41</v>
      </c>
      <c r="C2" s="41"/>
      <c r="D2" s="2" t="s">
        <v>43</v>
      </c>
      <c r="E2" s="11"/>
      <c r="F2" s="35" t="s">
        <v>51</v>
      </c>
      <c r="G2" s="38"/>
      <c r="H2" s="11"/>
      <c r="I2" s="2">
        <v>1</v>
      </c>
      <c r="J2" s="35" t="s">
        <v>156</v>
      </c>
      <c r="K2" s="36"/>
      <c r="L2" s="13"/>
      <c r="M2" s="38"/>
      <c r="N2" s="37"/>
      <c r="O2" s="37" t="s">
        <v>134</v>
      </c>
      <c r="P2" s="36"/>
      <c r="Q2" s="37" t="s">
        <v>130</v>
      </c>
      <c r="R2" s="2" t="s">
        <v>127</v>
      </c>
      <c r="S2" s="2" t="s">
        <v>121</v>
      </c>
      <c r="T2" s="35" t="s">
        <v>117</v>
      </c>
      <c r="U2" s="2" t="s">
        <v>123</v>
      </c>
      <c r="V2" s="2" t="s">
        <v>43</v>
      </c>
      <c r="W2" s="11"/>
      <c r="X2" s="36"/>
      <c r="Y2" s="37" t="s">
        <v>92</v>
      </c>
      <c r="Z2" s="2" t="s">
        <v>185</v>
      </c>
      <c r="AA2" s="11"/>
      <c r="AB2" s="36"/>
      <c r="AC2" s="37" t="s">
        <v>90</v>
      </c>
      <c r="AD2" s="35" t="s">
        <v>90</v>
      </c>
      <c r="AE2" s="38"/>
      <c r="AF2" s="2" t="s">
        <v>84</v>
      </c>
      <c r="AG2" s="2" t="s">
        <v>80</v>
      </c>
    </row>
    <row r="3" spans="1:33" x14ac:dyDescent="0.25">
      <c r="A3" s="2" t="s">
        <v>33</v>
      </c>
      <c r="B3" s="2" t="s">
        <v>42</v>
      </c>
      <c r="C3" s="18"/>
      <c r="D3" s="2" t="s">
        <v>44</v>
      </c>
      <c r="E3" s="11"/>
      <c r="F3" s="2" t="s">
        <v>50</v>
      </c>
      <c r="G3" s="12"/>
      <c r="H3" s="11"/>
      <c r="I3" s="2">
        <v>1.2</v>
      </c>
      <c r="J3" s="2" t="s">
        <v>157</v>
      </c>
      <c r="K3" s="11"/>
      <c r="L3" s="13"/>
      <c r="M3" s="12"/>
      <c r="N3" s="3"/>
      <c r="O3" s="3" t="s">
        <v>135</v>
      </c>
      <c r="P3" s="11"/>
      <c r="Q3" s="3" t="s">
        <v>131</v>
      </c>
      <c r="R3" s="2" t="s">
        <v>128</v>
      </c>
      <c r="S3" s="2" t="s">
        <v>122</v>
      </c>
      <c r="T3" s="2" t="s">
        <v>118</v>
      </c>
      <c r="U3" s="2" t="s">
        <v>124</v>
      </c>
      <c r="V3" s="2" t="s">
        <v>44</v>
      </c>
      <c r="W3" s="11"/>
      <c r="X3" s="11"/>
      <c r="Y3" s="3" t="s">
        <v>93</v>
      </c>
      <c r="Z3" s="2" t="s">
        <v>186</v>
      </c>
      <c r="AA3" s="11"/>
      <c r="AB3" s="11"/>
      <c r="AC3" s="3" t="s">
        <v>91</v>
      </c>
      <c r="AD3" s="2" t="s">
        <v>91</v>
      </c>
      <c r="AE3" s="12"/>
      <c r="AF3" s="2" t="s">
        <v>85</v>
      </c>
      <c r="AG3" s="2" t="s">
        <v>81</v>
      </c>
    </row>
    <row r="4" spans="1:33" x14ac:dyDescent="0.25">
      <c r="A4" s="2" t="s">
        <v>34</v>
      </c>
      <c r="B4" s="2"/>
      <c r="C4" s="18"/>
      <c r="D4" s="2" t="s">
        <v>45</v>
      </c>
      <c r="E4" s="11"/>
      <c r="F4" s="2" t="s">
        <v>52</v>
      </c>
      <c r="G4" s="12"/>
      <c r="H4" s="11"/>
      <c r="I4" s="2">
        <v>1.5</v>
      </c>
      <c r="J4" s="2" t="s">
        <v>158</v>
      </c>
      <c r="K4" s="11"/>
      <c r="L4" s="13"/>
      <c r="M4" s="12"/>
      <c r="N4" s="3"/>
      <c r="O4" s="3" t="s">
        <v>136</v>
      </c>
      <c r="P4" s="11"/>
      <c r="Q4" s="3" t="s">
        <v>132</v>
      </c>
      <c r="R4" s="2" t="s">
        <v>129</v>
      </c>
      <c r="S4" t="s">
        <v>321</v>
      </c>
      <c r="T4" s="2" t="s">
        <v>119</v>
      </c>
      <c r="U4" s="2" t="s">
        <v>125</v>
      </c>
      <c r="V4" s="2" t="s">
        <v>45</v>
      </c>
      <c r="W4" s="11"/>
      <c r="X4" s="11"/>
      <c r="Y4" s="3" t="s">
        <v>95</v>
      </c>
      <c r="Z4" s="2" t="s">
        <v>187</v>
      </c>
      <c r="AA4" s="11"/>
      <c r="AB4" s="11"/>
      <c r="AC4" s="3"/>
      <c r="AD4" s="2"/>
      <c r="AE4" s="12"/>
      <c r="AF4" s="2" t="s">
        <v>86</v>
      </c>
      <c r="AG4" s="2" t="s">
        <v>82</v>
      </c>
    </row>
    <row r="5" spans="1:33" x14ac:dyDescent="0.25">
      <c r="A5" s="2" t="s">
        <v>35</v>
      </c>
      <c r="B5" s="2"/>
      <c r="C5" s="18"/>
      <c r="D5" s="2" t="s">
        <v>46</v>
      </c>
      <c r="E5" s="11"/>
      <c r="F5" s="2"/>
      <c r="G5" s="12"/>
      <c r="H5" s="11"/>
      <c r="I5" s="2">
        <v>2</v>
      </c>
      <c r="J5" s="3" t="s">
        <v>302</v>
      </c>
      <c r="K5" s="11"/>
      <c r="L5" s="13"/>
      <c r="M5" s="12"/>
      <c r="N5" s="3"/>
      <c r="O5" s="3" t="s">
        <v>137</v>
      </c>
      <c r="P5" s="11"/>
      <c r="Q5" s="3" t="s">
        <v>133</v>
      </c>
      <c r="R5" s="2" t="s">
        <v>80</v>
      </c>
      <c r="S5" t="s">
        <v>322</v>
      </c>
      <c r="T5" s="2" t="s">
        <v>120</v>
      </c>
      <c r="U5" s="2" t="s">
        <v>126</v>
      </c>
      <c r="V5" s="2" t="s">
        <v>46</v>
      </c>
      <c r="W5" s="11"/>
      <c r="X5" s="11"/>
      <c r="Y5" s="14" t="s">
        <v>96</v>
      </c>
      <c r="Z5" s="2" t="s">
        <v>191</v>
      </c>
      <c r="AA5" s="11"/>
      <c r="AB5" s="11"/>
      <c r="AC5" s="3"/>
      <c r="AD5" s="2"/>
      <c r="AE5" s="12"/>
      <c r="AF5" s="2" t="s">
        <v>87</v>
      </c>
      <c r="AG5" s="2" t="s">
        <v>83</v>
      </c>
    </row>
    <row r="6" spans="1:33" x14ac:dyDescent="0.25">
      <c r="A6" s="2" t="s">
        <v>36</v>
      </c>
      <c r="B6" s="2"/>
      <c r="C6" s="18"/>
      <c r="D6" s="2" t="s">
        <v>47</v>
      </c>
      <c r="E6" s="11"/>
      <c r="F6" s="2"/>
      <c r="G6" s="12"/>
      <c r="H6" s="11"/>
      <c r="I6" s="2">
        <v>2.5</v>
      </c>
      <c r="J6" s="2" t="s">
        <v>155</v>
      </c>
      <c r="K6" s="11"/>
      <c r="L6" s="13"/>
      <c r="M6" s="12"/>
      <c r="N6" s="3"/>
      <c r="O6" s="3" t="s">
        <v>138</v>
      </c>
      <c r="P6" s="11"/>
      <c r="Q6" s="17">
        <v>360</v>
      </c>
      <c r="R6" s="2" t="s">
        <v>306</v>
      </c>
      <c r="S6" s="2" t="s">
        <v>308</v>
      </c>
      <c r="T6" s="2"/>
      <c r="U6" s="2"/>
      <c r="V6" s="2" t="s">
        <v>47</v>
      </c>
      <c r="W6" s="11"/>
      <c r="X6" s="11"/>
      <c r="Y6" s="3" t="s">
        <v>97</v>
      </c>
      <c r="Z6" s="2" t="s">
        <v>192</v>
      </c>
      <c r="AA6" s="11"/>
      <c r="AB6" s="11"/>
      <c r="AC6" s="3"/>
      <c r="AD6" s="2"/>
      <c r="AE6" s="12"/>
      <c r="AF6" s="2" t="s">
        <v>88</v>
      </c>
      <c r="AG6" s="2"/>
    </row>
    <row r="7" spans="1:33" x14ac:dyDescent="0.25">
      <c r="A7" s="2" t="s">
        <v>37</v>
      </c>
      <c r="B7" s="2"/>
      <c r="C7" s="18"/>
      <c r="D7" s="2" t="s">
        <v>48</v>
      </c>
      <c r="E7" s="11"/>
      <c r="F7" s="2"/>
      <c r="G7" s="12"/>
      <c r="H7" s="11"/>
      <c r="I7" s="2">
        <v>3</v>
      </c>
      <c r="J7" s="2" t="s">
        <v>159</v>
      </c>
      <c r="K7" s="11"/>
      <c r="L7" s="13"/>
      <c r="M7" s="12"/>
      <c r="N7" s="3"/>
      <c r="O7" s="3" t="s">
        <v>139</v>
      </c>
      <c r="P7" s="11"/>
      <c r="Q7" s="3"/>
      <c r="R7" s="2" t="s">
        <v>307</v>
      </c>
      <c r="S7" s="2" t="s">
        <v>309</v>
      </c>
      <c r="T7" s="2"/>
      <c r="U7" s="2"/>
      <c r="V7" s="2" t="s">
        <v>48</v>
      </c>
      <c r="W7" s="11"/>
      <c r="X7" s="11"/>
      <c r="Y7" s="14" t="s">
        <v>105</v>
      </c>
      <c r="Z7" s="2" t="s">
        <v>193</v>
      </c>
      <c r="AA7" s="11"/>
      <c r="AB7" s="11"/>
      <c r="AC7" s="3"/>
      <c r="AD7" s="2"/>
      <c r="AE7" s="12"/>
      <c r="AF7" s="2" t="s">
        <v>89</v>
      </c>
      <c r="AG7" s="2"/>
    </row>
    <row r="8" spans="1:33" x14ac:dyDescent="0.25">
      <c r="A8" s="2" t="s">
        <v>38</v>
      </c>
      <c r="B8" s="2"/>
      <c r="C8" s="18"/>
      <c r="D8" s="2" t="s">
        <v>49</v>
      </c>
      <c r="E8" s="11"/>
      <c r="F8" s="2"/>
      <c r="G8" s="12"/>
      <c r="H8" s="11"/>
      <c r="I8" s="2">
        <v>3.5</v>
      </c>
      <c r="J8" s="2" t="s">
        <v>160</v>
      </c>
      <c r="K8" s="11"/>
      <c r="L8" s="13"/>
      <c r="M8" s="12"/>
      <c r="N8" s="3"/>
      <c r="O8" s="3" t="s">
        <v>140</v>
      </c>
      <c r="P8" s="11"/>
      <c r="Q8" s="3"/>
      <c r="R8" s="2"/>
      <c r="S8" s="2" t="s">
        <v>310</v>
      </c>
      <c r="T8" s="2"/>
      <c r="U8" s="2"/>
      <c r="V8" s="2" t="s">
        <v>49</v>
      </c>
      <c r="W8" s="11"/>
      <c r="X8" s="11"/>
      <c r="Y8" s="2" t="s">
        <v>98</v>
      </c>
      <c r="Z8" s="2" t="s">
        <v>194</v>
      </c>
      <c r="AA8" s="11"/>
      <c r="AB8" s="11"/>
      <c r="AC8" s="3"/>
      <c r="AD8" s="2"/>
      <c r="AE8" s="12"/>
      <c r="AF8" s="2"/>
      <c r="AG8" s="2"/>
    </row>
    <row r="9" spans="1:33" x14ac:dyDescent="0.25">
      <c r="A9" s="2" t="s">
        <v>39</v>
      </c>
      <c r="B9" s="2"/>
      <c r="C9" s="18"/>
      <c r="D9" s="2" t="s">
        <v>70</v>
      </c>
      <c r="E9" s="11"/>
      <c r="F9" s="2"/>
      <c r="G9" s="12"/>
      <c r="H9" s="11"/>
      <c r="I9" s="2">
        <v>4</v>
      </c>
      <c r="J9" s="2" t="s">
        <v>161</v>
      </c>
      <c r="K9" s="11"/>
      <c r="L9" s="13"/>
      <c r="M9" s="12"/>
      <c r="N9" s="3"/>
      <c r="O9" s="3" t="s">
        <v>196</v>
      </c>
      <c r="P9" s="11"/>
      <c r="Q9" s="3"/>
      <c r="R9" s="2"/>
      <c r="S9" s="2" t="s">
        <v>311</v>
      </c>
      <c r="T9" s="2"/>
      <c r="U9" s="2"/>
      <c r="V9" s="2"/>
      <c r="W9" s="11"/>
      <c r="X9" s="11"/>
      <c r="Y9" s="2" t="s">
        <v>99</v>
      </c>
      <c r="Z9" s="2" t="s">
        <v>195</v>
      </c>
      <c r="AA9" s="11"/>
      <c r="AB9" s="11"/>
      <c r="AC9" s="3"/>
      <c r="AD9" s="2"/>
      <c r="AE9" s="12"/>
      <c r="AF9" s="2"/>
      <c r="AG9" s="2"/>
    </row>
    <row r="10" spans="1:33" x14ac:dyDescent="0.25">
      <c r="A10" s="2" t="s">
        <v>40</v>
      </c>
      <c r="B10" s="2"/>
      <c r="C10" s="18"/>
      <c r="D10" s="2" t="s">
        <v>71</v>
      </c>
      <c r="E10" s="11"/>
      <c r="F10" s="2"/>
      <c r="G10" s="12"/>
      <c r="H10" s="11"/>
      <c r="I10" s="2">
        <v>4.5</v>
      </c>
      <c r="J10" s="2" t="s">
        <v>162</v>
      </c>
      <c r="K10" s="11"/>
      <c r="L10" s="13"/>
      <c r="M10" s="12"/>
      <c r="N10" s="3"/>
      <c r="O10" s="3" t="s">
        <v>141</v>
      </c>
      <c r="P10" s="11"/>
      <c r="Q10" s="3"/>
      <c r="R10" s="2"/>
      <c r="S10" s="2" t="s">
        <v>313</v>
      </c>
      <c r="T10" s="2"/>
      <c r="U10" s="2"/>
      <c r="V10" s="2"/>
      <c r="W10" s="11"/>
      <c r="X10" s="11"/>
      <c r="Y10" s="2" t="s">
        <v>100</v>
      </c>
      <c r="Z10" s="2" t="s">
        <v>326</v>
      </c>
      <c r="AA10" s="11"/>
      <c r="AB10" s="11"/>
      <c r="AC10" s="3"/>
      <c r="AD10" s="2"/>
      <c r="AE10" s="12"/>
      <c r="AF10" s="2"/>
      <c r="AG10" s="2"/>
    </row>
    <row r="11" spans="1:33" x14ac:dyDescent="0.25">
      <c r="A11" s="2" t="s">
        <v>167</v>
      </c>
      <c r="B11" s="2"/>
      <c r="C11" s="18"/>
      <c r="D11" s="2" t="s">
        <v>72</v>
      </c>
      <c r="E11" s="11"/>
      <c r="F11" s="2"/>
      <c r="G11" s="12"/>
      <c r="H11" s="11"/>
      <c r="I11" s="2">
        <v>6</v>
      </c>
      <c r="J11" s="2" t="s">
        <v>163</v>
      </c>
      <c r="K11" s="11"/>
      <c r="L11" s="13"/>
      <c r="M11" s="12"/>
      <c r="N11" s="3"/>
      <c r="O11" s="3" t="s">
        <v>142</v>
      </c>
      <c r="P11" s="11"/>
      <c r="Q11" s="3"/>
      <c r="R11" s="2"/>
      <c r="S11" s="2" t="s">
        <v>314</v>
      </c>
      <c r="T11" s="2"/>
      <c r="U11" s="2"/>
      <c r="V11" s="2"/>
      <c r="W11" s="11"/>
      <c r="X11" s="11"/>
      <c r="Y11" s="2" t="s">
        <v>101</v>
      </c>
      <c r="Z11" s="2"/>
      <c r="AA11" s="11"/>
      <c r="AB11" s="11"/>
      <c r="AC11" s="3"/>
      <c r="AD11" s="2"/>
      <c r="AE11" s="12"/>
      <c r="AF11" s="2"/>
      <c r="AG11" s="2"/>
    </row>
    <row r="12" spans="1:33" x14ac:dyDescent="0.25">
      <c r="A12" s="2"/>
      <c r="B12" s="2"/>
      <c r="C12" s="18"/>
      <c r="D12" s="2" t="s">
        <v>73</v>
      </c>
      <c r="E12" s="11"/>
      <c r="F12" s="2"/>
      <c r="G12" s="12"/>
      <c r="H12" s="11"/>
      <c r="I12" s="2">
        <v>7</v>
      </c>
      <c r="J12" s="2" t="s">
        <v>164</v>
      </c>
      <c r="K12" s="11"/>
      <c r="L12" s="13"/>
      <c r="M12" s="12"/>
      <c r="N12" s="3"/>
      <c r="O12" s="3" t="s">
        <v>143</v>
      </c>
      <c r="P12" s="11"/>
      <c r="Q12" s="3"/>
      <c r="R12" s="2"/>
      <c r="S12" s="2" t="s">
        <v>315</v>
      </c>
      <c r="T12" s="2"/>
      <c r="U12" s="2"/>
      <c r="V12" s="2"/>
      <c r="W12" s="11"/>
      <c r="X12" s="11"/>
      <c r="Y12" s="2" t="s">
        <v>102</v>
      </c>
      <c r="Z12" s="2"/>
      <c r="AA12" s="11"/>
      <c r="AB12" s="11"/>
      <c r="AC12" s="3"/>
      <c r="AD12" s="2"/>
      <c r="AE12" s="12"/>
      <c r="AF12" s="2"/>
      <c r="AG12" s="2"/>
    </row>
    <row r="13" spans="1:33" x14ac:dyDescent="0.25">
      <c r="A13" s="2"/>
      <c r="B13" s="2"/>
      <c r="C13" s="18"/>
      <c r="D13" s="2" t="s">
        <v>74</v>
      </c>
      <c r="E13" s="11"/>
      <c r="F13" s="2"/>
      <c r="G13" s="12"/>
      <c r="H13" s="11"/>
      <c r="I13" s="2">
        <v>8</v>
      </c>
      <c r="J13" s="2"/>
      <c r="K13" s="11"/>
      <c r="L13" s="13"/>
      <c r="M13" s="12"/>
      <c r="N13" s="3"/>
      <c r="O13" s="3" t="s">
        <v>144</v>
      </c>
      <c r="P13" s="11"/>
      <c r="Q13" s="3"/>
      <c r="R13" s="2"/>
      <c r="S13" s="2" t="s">
        <v>316</v>
      </c>
      <c r="T13" s="2"/>
      <c r="U13" s="2"/>
      <c r="V13" s="2"/>
      <c r="W13" s="11"/>
      <c r="X13" s="11"/>
      <c r="Y13" s="2" t="s">
        <v>103</v>
      </c>
      <c r="Z13" s="2"/>
      <c r="AA13" s="11"/>
      <c r="AB13" s="11"/>
      <c r="AC13" s="3"/>
      <c r="AD13" s="2"/>
      <c r="AE13" s="12"/>
      <c r="AF13" s="2"/>
      <c r="AG13" s="2"/>
    </row>
    <row r="14" spans="1:33" x14ac:dyDescent="0.25">
      <c r="A14" s="2"/>
      <c r="B14" s="2"/>
      <c r="C14" s="18"/>
      <c r="D14" s="2" t="s">
        <v>75</v>
      </c>
      <c r="E14" s="11"/>
      <c r="F14" s="2"/>
      <c r="G14" s="12"/>
      <c r="H14" s="11"/>
      <c r="I14" s="2">
        <v>9</v>
      </c>
      <c r="J14" s="2"/>
      <c r="K14" s="11"/>
      <c r="L14" s="13"/>
      <c r="M14" s="12"/>
      <c r="N14" s="3"/>
      <c r="O14" s="3" t="s">
        <v>145</v>
      </c>
      <c r="P14" s="11"/>
      <c r="Q14" s="3"/>
      <c r="R14" s="2"/>
      <c r="S14" s="2" t="s">
        <v>317</v>
      </c>
      <c r="T14" s="2"/>
      <c r="U14" s="2"/>
      <c r="V14" s="2"/>
      <c r="W14" s="11"/>
      <c r="X14" s="11"/>
      <c r="Y14" s="2" t="s">
        <v>104</v>
      </c>
      <c r="Z14" s="2"/>
      <c r="AA14" s="11"/>
      <c r="AB14" s="11"/>
      <c r="AC14" s="3"/>
      <c r="AD14" s="2"/>
      <c r="AE14" s="12"/>
      <c r="AF14" s="2"/>
      <c r="AG14" s="2"/>
    </row>
    <row r="15" spans="1:33" x14ac:dyDescent="0.25">
      <c r="A15" s="2"/>
      <c r="B15" s="2"/>
      <c r="C15" s="18"/>
      <c r="D15" s="2" t="s">
        <v>76</v>
      </c>
      <c r="E15" s="11"/>
      <c r="F15" s="2"/>
      <c r="G15" s="12"/>
      <c r="H15" s="11"/>
      <c r="I15" s="2">
        <v>10</v>
      </c>
      <c r="J15" s="2"/>
      <c r="K15" s="11"/>
      <c r="L15" s="13"/>
      <c r="M15" s="12"/>
      <c r="N15" s="3"/>
      <c r="O15" s="3" t="s">
        <v>146</v>
      </c>
      <c r="P15" s="11"/>
      <c r="Q15" s="3"/>
      <c r="R15" s="2"/>
      <c r="S15" s="2" t="s">
        <v>318</v>
      </c>
      <c r="T15" s="2"/>
      <c r="U15" s="2"/>
      <c r="V15" s="2"/>
      <c r="W15" s="11"/>
      <c r="X15" s="11"/>
      <c r="Y15" s="2" t="s">
        <v>94</v>
      </c>
      <c r="Z15" s="2"/>
      <c r="AA15" s="11"/>
      <c r="AB15" s="11"/>
      <c r="AC15" s="3"/>
      <c r="AD15" s="2"/>
      <c r="AE15" s="12"/>
      <c r="AF15" s="2"/>
      <c r="AG15" s="2"/>
    </row>
    <row r="16" spans="1:33" x14ac:dyDescent="0.25">
      <c r="A16" s="2"/>
      <c r="B16" s="2"/>
      <c r="C16" s="18"/>
      <c r="D16" s="2" t="s">
        <v>77</v>
      </c>
      <c r="E16" s="11"/>
      <c r="F16" s="2"/>
      <c r="G16" s="12"/>
      <c r="H16" s="11"/>
      <c r="I16" s="2">
        <v>15</v>
      </c>
      <c r="J16" s="2"/>
      <c r="K16" s="11"/>
      <c r="L16" s="13"/>
      <c r="M16" s="12"/>
      <c r="N16" s="3"/>
      <c r="O16" s="3" t="s">
        <v>147</v>
      </c>
      <c r="P16" s="11"/>
      <c r="Q16" s="3"/>
      <c r="R16" s="2"/>
      <c r="S16" s="2" t="s">
        <v>319</v>
      </c>
      <c r="T16" s="2"/>
      <c r="U16" s="2"/>
      <c r="V16" s="2"/>
      <c r="W16" s="11"/>
      <c r="X16" s="11"/>
      <c r="Y16" s="14"/>
      <c r="Z16" s="2"/>
      <c r="AA16" s="11"/>
      <c r="AB16" s="11"/>
      <c r="AC16" s="3"/>
      <c r="AD16" s="2"/>
      <c r="AE16" s="12"/>
      <c r="AF16" s="2"/>
      <c r="AG16" s="2"/>
    </row>
    <row r="17" spans="1:33" x14ac:dyDescent="0.25">
      <c r="A17" s="2"/>
      <c r="B17" s="2"/>
      <c r="C17" s="18"/>
      <c r="D17" s="2" t="s">
        <v>78</v>
      </c>
      <c r="E17" s="11"/>
      <c r="F17" s="2"/>
      <c r="G17" s="12"/>
      <c r="H17" s="11"/>
      <c r="I17" s="2">
        <v>20</v>
      </c>
      <c r="J17" s="2"/>
      <c r="K17" s="11"/>
      <c r="L17" s="13"/>
      <c r="M17" s="12"/>
      <c r="N17" s="3"/>
      <c r="O17" s="3" t="s">
        <v>148</v>
      </c>
      <c r="P17" s="11"/>
      <c r="Q17" s="3"/>
      <c r="R17" s="2"/>
      <c r="S17" s="2" t="s">
        <v>312</v>
      </c>
      <c r="T17" s="2"/>
      <c r="U17" s="2"/>
      <c r="V17" s="2"/>
      <c r="W17" s="11"/>
      <c r="X17" s="11"/>
      <c r="Y17" s="3"/>
      <c r="Z17" s="2"/>
      <c r="AA17" s="11"/>
      <c r="AB17" s="11"/>
      <c r="AC17" s="3"/>
      <c r="AD17" s="2"/>
      <c r="AE17" s="12"/>
      <c r="AF17" s="2"/>
      <c r="AG17" s="2"/>
    </row>
    <row r="18" spans="1:33" x14ac:dyDescent="0.25">
      <c r="A18" s="2"/>
      <c r="B18" s="2"/>
      <c r="C18" s="18"/>
      <c r="D18" s="2" t="s">
        <v>79</v>
      </c>
      <c r="E18" s="11"/>
      <c r="F18" s="2"/>
      <c r="G18" s="12"/>
      <c r="H18" s="11"/>
      <c r="I18" s="2"/>
      <c r="J18" s="2"/>
      <c r="K18" s="11"/>
      <c r="L18" s="13"/>
      <c r="M18" s="12"/>
      <c r="N18" s="3"/>
      <c r="O18" s="3" t="s">
        <v>149</v>
      </c>
      <c r="P18" s="11"/>
      <c r="Q18" s="3"/>
      <c r="R18" s="2"/>
      <c r="S18" s="2" t="s">
        <v>320</v>
      </c>
      <c r="T18" s="2"/>
      <c r="U18" s="2"/>
      <c r="V18" s="2"/>
      <c r="W18" s="11"/>
      <c r="X18" s="11"/>
      <c r="Y18" s="3"/>
      <c r="Z18" s="2"/>
      <c r="AA18" s="11"/>
      <c r="AB18" s="11"/>
      <c r="AC18" s="3"/>
      <c r="AD18" s="2"/>
      <c r="AE18" s="12"/>
      <c r="AF18" s="2"/>
      <c r="AG18" s="2"/>
    </row>
    <row r="19" spans="1:33" x14ac:dyDescent="0.25">
      <c r="A19" s="2"/>
      <c r="B19" s="2"/>
      <c r="C19" s="18"/>
      <c r="D19" s="2" t="s">
        <v>300</v>
      </c>
      <c r="E19" s="11"/>
      <c r="F19" s="2"/>
      <c r="G19" s="12"/>
      <c r="H19" s="11"/>
      <c r="I19" s="2"/>
      <c r="J19" s="2"/>
      <c r="K19" s="11"/>
      <c r="L19" s="13"/>
      <c r="M19" s="12"/>
      <c r="N19" s="3"/>
      <c r="O19" s="3" t="s">
        <v>150</v>
      </c>
      <c r="P19" s="11"/>
      <c r="Q19" s="3"/>
      <c r="R19" s="2"/>
      <c r="T19" s="2"/>
      <c r="U19" s="2"/>
      <c r="V19" s="2"/>
      <c r="W19" s="11"/>
      <c r="X19" s="11"/>
      <c r="Y19" s="3"/>
      <c r="Z19" s="2"/>
      <c r="AA19" s="11"/>
      <c r="AB19" s="11"/>
      <c r="AC19" s="3"/>
      <c r="AD19" s="2"/>
      <c r="AE19" s="12"/>
      <c r="AF19" s="2"/>
      <c r="AG19" s="2"/>
    </row>
    <row r="20" spans="1:33" x14ac:dyDescent="0.25">
      <c r="A20" s="2"/>
      <c r="B20" s="2"/>
      <c r="C20" s="18"/>
      <c r="D20" s="2" t="s">
        <v>298</v>
      </c>
      <c r="E20" s="11"/>
      <c r="F20" s="2"/>
      <c r="G20" s="12"/>
      <c r="H20" s="11"/>
      <c r="I20" s="2"/>
      <c r="J20" s="2"/>
      <c r="K20" s="11"/>
      <c r="L20" s="13"/>
      <c r="M20" s="12"/>
      <c r="N20" s="3"/>
      <c r="O20" s="3" t="s">
        <v>151</v>
      </c>
      <c r="P20" s="11"/>
      <c r="Q20" s="3"/>
      <c r="R20" s="2"/>
      <c r="S20" s="2"/>
      <c r="T20" s="2"/>
      <c r="U20" s="2"/>
      <c r="V20" s="2"/>
      <c r="W20" s="11"/>
      <c r="X20" s="11"/>
      <c r="Y20" s="3"/>
      <c r="Z20" s="2"/>
      <c r="AA20" s="11"/>
      <c r="AB20" s="11"/>
      <c r="AC20" s="3"/>
      <c r="AD20" s="2"/>
      <c r="AE20" s="12"/>
      <c r="AF20" s="2"/>
      <c r="AG20" s="2"/>
    </row>
    <row r="21" spans="1:33" x14ac:dyDescent="0.25">
      <c r="A21" s="2"/>
      <c r="B21" s="2"/>
      <c r="C21" s="18"/>
      <c r="D21" s="2" t="s">
        <v>299</v>
      </c>
      <c r="E21" s="11"/>
      <c r="F21" s="2"/>
      <c r="G21" s="12"/>
      <c r="H21" s="11"/>
      <c r="I21" s="2"/>
      <c r="J21" s="2"/>
      <c r="K21" s="11"/>
      <c r="L21" s="13"/>
      <c r="M21" s="12"/>
      <c r="N21" s="3"/>
      <c r="O21" s="3" t="s">
        <v>152</v>
      </c>
      <c r="P21" s="11"/>
      <c r="Q21" s="3"/>
      <c r="R21" s="2"/>
      <c r="S21" s="2"/>
      <c r="T21" s="2"/>
      <c r="U21" s="2"/>
      <c r="V21" s="2"/>
      <c r="W21" s="11"/>
      <c r="X21" s="11"/>
      <c r="Y21" s="3"/>
      <c r="Z21" s="2"/>
      <c r="AA21" s="11"/>
      <c r="AB21" s="11"/>
      <c r="AC21" s="3"/>
      <c r="AD21" s="2"/>
      <c r="AE21" s="12"/>
      <c r="AF21" s="2"/>
      <c r="AG21" s="2"/>
    </row>
    <row r="22" spans="1:33" x14ac:dyDescent="0.25">
      <c r="A22" s="2"/>
      <c r="B22" s="2"/>
      <c r="C22" s="18"/>
      <c r="D22" s="2"/>
      <c r="E22" s="11"/>
      <c r="F22" s="2"/>
      <c r="G22" s="12"/>
      <c r="H22" s="11"/>
      <c r="I22" s="2"/>
      <c r="J22" s="2"/>
      <c r="K22" s="11"/>
      <c r="L22" s="13"/>
      <c r="M22" s="12"/>
      <c r="N22" s="3"/>
      <c r="O22" s="3" t="s">
        <v>153</v>
      </c>
      <c r="P22" s="11"/>
      <c r="Q22" s="3"/>
      <c r="R22" s="2"/>
      <c r="S22" s="2"/>
      <c r="T22" s="2"/>
      <c r="U22" s="2"/>
      <c r="V22" s="2"/>
      <c r="W22" s="11"/>
      <c r="X22" s="11"/>
      <c r="Y22" s="3"/>
      <c r="Z22" s="2"/>
      <c r="AA22" s="11"/>
      <c r="AB22" s="11"/>
      <c r="AC22" s="3"/>
      <c r="AD22" s="2"/>
      <c r="AE22" s="12"/>
      <c r="AF22" s="2"/>
      <c r="AG22" s="2"/>
    </row>
    <row r="23" spans="1:33" x14ac:dyDescent="0.25">
      <c r="A23" s="2"/>
      <c r="B23" s="2"/>
      <c r="C23" s="18"/>
      <c r="D23" s="2"/>
      <c r="E23" s="11"/>
      <c r="F23" s="2"/>
      <c r="G23" s="12"/>
      <c r="H23" s="11"/>
      <c r="I23" s="2"/>
      <c r="J23" s="2"/>
      <c r="K23" s="11"/>
      <c r="L23" s="13"/>
      <c r="M23" s="12"/>
      <c r="N23" s="3"/>
      <c r="O23" s="3" t="s">
        <v>154</v>
      </c>
      <c r="P23" s="11"/>
      <c r="Q23" s="3"/>
      <c r="R23" s="2"/>
      <c r="S23" s="2"/>
      <c r="T23" s="2"/>
      <c r="U23" s="2"/>
      <c r="V23" s="2"/>
      <c r="W23" s="11"/>
      <c r="X23" s="11"/>
      <c r="Y23" s="3"/>
      <c r="Z23" s="2"/>
      <c r="AA23" s="11"/>
      <c r="AB23" s="11"/>
      <c r="AC23" s="3"/>
      <c r="AD23" s="2"/>
      <c r="AE23" s="12"/>
      <c r="AF23" s="2"/>
      <c r="AG23" s="2"/>
    </row>
    <row r="24" spans="1:33" x14ac:dyDescent="0.25">
      <c r="A24" s="2"/>
      <c r="B24" s="2"/>
      <c r="C24" s="18"/>
      <c r="D24" s="2"/>
      <c r="E24" s="11"/>
      <c r="F24" s="2"/>
      <c r="G24" s="12"/>
      <c r="H24" s="11"/>
      <c r="I24" s="2"/>
      <c r="J24" s="2"/>
      <c r="K24" s="11"/>
      <c r="L24" s="13"/>
      <c r="M24" s="12"/>
      <c r="N24" s="3"/>
      <c r="O24" s="3"/>
      <c r="P24" s="11"/>
      <c r="Q24" s="3"/>
      <c r="R24" s="2"/>
      <c r="S24" s="2"/>
      <c r="T24" s="2"/>
      <c r="U24" s="2"/>
      <c r="V24" s="2"/>
      <c r="W24" s="11"/>
      <c r="X24" s="11"/>
      <c r="Y24" s="3"/>
      <c r="Z24" s="2"/>
      <c r="AA24" s="11"/>
      <c r="AB24" s="11"/>
      <c r="AC24" s="3"/>
      <c r="AD24" s="2"/>
      <c r="AE24" s="12"/>
      <c r="AF24" s="2"/>
      <c r="AG24" s="2"/>
    </row>
    <row r="25" spans="1:33" x14ac:dyDescent="0.25">
      <c r="A25" s="2"/>
      <c r="B25" s="2"/>
      <c r="C25" s="18"/>
      <c r="D25" s="2"/>
      <c r="E25" s="11"/>
      <c r="F25" s="2"/>
      <c r="G25" s="12"/>
      <c r="H25" s="11"/>
      <c r="I25" s="2"/>
      <c r="J25" s="2"/>
      <c r="K25" s="11"/>
      <c r="L25" s="13"/>
      <c r="M25" s="12"/>
      <c r="N25" s="3"/>
      <c r="O25" s="3"/>
      <c r="P25" s="11"/>
      <c r="Q25" s="3"/>
      <c r="R25" s="2"/>
      <c r="S25" s="2"/>
      <c r="T25" s="2"/>
      <c r="U25" s="2"/>
      <c r="V25" s="2"/>
      <c r="W25" s="11"/>
      <c r="X25" s="11"/>
      <c r="Y25" s="3"/>
      <c r="Z25" s="2"/>
      <c r="AA25" s="11"/>
      <c r="AB25" s="11"/>
      <c r="AC25" s="3"/>
      <c r="AD25" s="2"/>
      <c r="AE25" s="12"/>
      <c r="AF25" s="2"/>
      <c r="AG25" s="2"/>
    </row>
    <row r="26" spans="1:33" x14ac:dyDescent="0.25">
      <c r="Z26" s="15"/>
    </row>
    <row r="27" spans="1:33" x14ac:dyDescent="0.25">
      <c r="Z27" s="44" t="s">
        <v>327</v>
      </c>
      <c r="AA27" s="16" t="s">
        <v>114</v>
      </c>
      <c r="AB27" s="16" t="s">
        <v>115</v>
      </c>
    </row>
    <row r="28" spans="1:33" x14ac:dyDescent="0.25">
      <c r="Z28" s="16" t="s">
        <v>168</v>
      </c>
      <c r="AA28" s="16" t="s">
        <v>71</v>
      </c>
      <c r="AB28" s="16" t="s">
        <v>110</v>
      </c>
    </row>
    <row r="29" spans="1:33" x14ac:dyDescent="0.25">
      <c r="Z29" s="16" t="s">
        <v>169</v>
      </c>
      <c r="AA29" s="16" t="s">
        <v>72</v>
      </c>
      <c r="AB29" s="16" t="s">
        <v>111</v>
      </c>
    </row>
    <row r="30" spans="1:33" x14ac:dyDescent="0.25">
      <c r="Z30" s="16" t="s">
        <v>170</v>
      </c>
      <c r="AA30" s="16" t="s">
        <v>73</v>
      </c>
      <c r="AB30" s="16" t="s">
        <v>112</v>
      </c>
    </row>
    <row r="31" spans="1:33" x14ac:dyDescent="0.25">
      <c r="Z31" s="16" t="s">
        <v>171</v>
      </c>
      <c r="AA31" s="16" t="s">
        <v>75</v>
      </c>
      <c r="AB31" s="16" t="s">
        <v>113</v>
      </c>
    </row>
    <row r="32" spans="1:33" x14ac:dyDescent="0.25">
      <c r="Z32" s="16" t="s">
        <v>172</v>
      </c>
      <c r="AA32" s="16" t="s">
        <v>108</v>
      </c>
      <c r="AB32" s="16">
        <v>1</v>
      </c>
    </row>
    <row r="33" spans="26:28" x14ac:dyDescent="0.25">
      <c r="Z33" s="16" t="s">
        <v>173</v>
      </c>
      <c r="AA33" s="16" t="s">
        <v>107</v>
      </c>
      <c r="AB33" s="16">
        <v>2</v>
      </c>
    </row>
    <row r="34" spans="26:28" x14ac:dyDescent="0.25">
      <c r="Z34" s="16" t="s">
        <v>174</v>
      </c>
      <c r="AA34" s="16" t="s">
        <v>109</v>
      </c>
      <c r="AB34" s="16">
        <v>3</v>
      </c>
    </row>
    <row r="35" spans="26:28" x14ac:dyDescent="0.25">
      <c r="Z35" s="16" t="s">
        <v>175</v>
      </c>
      <c r="AA35" s="16"/>
      <c r="AB35" s="16">
        <v>4</v>
      </c>
    </row>
    <row r="36" spans="26:28" x14ac:dyDescent="0.25">
      <c r="Z36" s="16" t="s">
        <v>184</v>
      </c>
      <c r="AA36" s="16"/>
      <c r="AB36" s="16">
        <v>5</v>
      </c>
    </row>
    <row r="37" spans="26:28" x14ac:dyDescent="0.25">
      <c r="Z37" s="16" t="s">
        <v>176</v>
      </c>
      <c r="AA37" s="16"/>
      <c r="AB37" s="16">
        <v>6</v>
      </c>
    </row>
    <row r="38" spans="26:28" x14ac:dyDescent="0.25">
      <c r="Z38" s="16" t="s">
        <v>178</v>
      </c>
      <c r="AA38" s="16"/>
      <c r="AB38" s="16"/>
    </row>
    <row r="39" spans="26:28" x14ac:dyDescent="0.25">
      <c r="Z39" s="16" t="s">
        <v>177</v>
      </c>
      <c r="AA39" s="16"/>
      <c r="AB39" s="16"/>
    </row>
    <row r="40" spans="26:28" x14ac:dyDescent="0.25">
      <c r="Z40" s="16" t="s">
        <v>179</v>
      </c>
      <c r="AA40" s="16"/>
      <c r="AB40" s="16"/>
    </row>
    <row r="41" spans="26:28" x14ac:dyDescent="0.25">
      <c r="Z41" s="16" t="s">
        <v>180</v>
      </c>
      <c r="AA41" s="16"/>
      <c r="AB41" s="16"/>
    </row>
    <row r="42" spans="26:28" x14ac:dyDescent="0.25">
      <c r="Z42" s="16" t="s">
        <v>181</v>
      </c>
      <c r="AA42" s="16"/>
      <c r="AB42" s="16"/>
    </row>
    <row r="43" spans="26:28" x14ac:dyDescent="0.25">
      <c r="Z43" s="16" t="s">
        <v>182</v>
      </c>
      <c r="AA43" s="16"/>
      <c r="AB43" s="16"/>
    </row>
    <row r="44" spans="26:28" x14ac:dyDescent="0.25">
      <c r="Z44" s="16" t="s">
        <v>183</v>
      </c>
      <c r="AA44" s="16"/>
      <c r="AB44" s="16"/>
    </row>
    <row r="45" spans="26:28" x14ac:dyDescent="0.25">
      <c r="Z45" s="16" t="s">
        <v>188</v>
      </c>
      <c r="AA45" s="16"/>
      <c r="AB45" s="16"/>
    </row>
    <row r="46" spans="26:28" x14ac:dyDescent="0.25">
      <c r="Z46" s="16" t="s">
        <v>189</v>
      </c>
      <c r="AA46" s="16"/>
      <c r="AB46" s="16"/>
    </row>
    <row r="47" spans="26:28" x14ac:dyDescent="0.25">
      <c r="Z47" s="16" t="s">
        <v>190</v>
      </c>
      <c r="AA47" s="16"/>
      <c r="AB47" s="16"/>
    </row>
    <row r="48" spans="26:28" x14ac:dyDescent="0.25">
      <c r="Z48" s="16"/>
      <c r="AA48" s="16"/>
      <c r="AB48" s="16"/>
    </row>
  </sheetData>
  <phoneticPr fontId="2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425A2-7267-4DB8-842D-E3CE128FD757}">
  <sheetPr codeName="Sheet8"/>
  <dimension ref="A1:S17"/>
  <sheetViews>
    <sheetView workbookViewId="0">
      <selection activeCell="N2" sqref="N2"/>
    </sheetView>
  </sheetViews>
  <sheetFormatPr defaultRowHeight="15" x14ac:dyDescent="0.25"/>
  <cols>
    <col min="1" max="1" width="14" customWidth="1"/>
    <col min="2" max="2" width="13.85546875" customWidth="1"/>
    <col min="3" max="3" width="15.28515625" hidden="1" customWidth="1"/>
    <col min="4" max="4" width="18.28515625" hidden="1" customWidth="1"/>
    <col min="5" max="5" width="16.7109375" customWidth="1"/>
    <col min="6" max="6" width="14.85546875" customWidth="1"/>
    <col min="7" max="7" width="14.5703125" hidden="1" customWidth="1"/>
    <col min="8" max="8" width="15.85546875" hidden="1" customWidth="1"/>
    <col min="10" max="13" width="0" hidden="1" customWidth="1"/>
    <col min="14" max="14" width="12.42578125" customWidth="1"/>
    <col min="15" max="15" width="17" customWidth="1"/>
    <col min="16" max="16" width="0" hidden="1" customWidth="1"/>
    <col min="17" max="17" width="9.28515625" hidden="1" customWidth="1"/>
    <col min="18" max="18" width="17.42578125" hidden="1" customWidth="1"/>
    <col min="19" max="19" width="14.5703125" customWidth="1"/>
  </cols>
  <sheetData>
    <row r="1" spans="1:19" ht="16.5" thickTop="1" thickBot="1" x14ac:dyDescent="0.3">
      <c r="A1" s="34" t="s">
        <v>1</v>
      </c>
      <c r="B1" s="25" t="s">
        <v>218</v>
      </c>
      <c r="C1" s="25" t="s">
        <v>200</v>
      </c>
      <c r="D1" s="25" t="s">
        <v>201</v>
      </c>
      <c r="E1" s="25" t="s">
        <v>3</v>
      </c>
      <c r="F1" s="25" t="s">
        <v>199</v>
      </c>
      <c r="G1" s="25" t="s">
        <v>202</v>
      </c>
      <c r="H1" s="25" t="s">
        <v>203</v>
      </c>
      <c r="I1" s="25" t="s">
        <v>208</v>
      </c>
      <c r="J1" s="25" t="s">
        <v>61</v>
      </c>
      <c r="K1" s="25" t="s">
        <v>15</v>
      </c>
      <c r="L1" s="25" t="s">
        <v>205</v>
      </c>
      <c r="M1" s="25" t="s">
        <v>20</v>
      </c>
      <c r="N1" s="25" t="s">
        <v>8</v>
      </c>
      <c r="O1" s="25" t="s">
        <v>9</v>
      </c>
      <c r="P1" s="25" t="s">
        <v>7</v>
      </c>
      <c r="Q1" s="25" t="s">
        <v>206</v>
      </c>
      <c r="R1" s="25" t="s">
        <v>207</v>
      </c>
      <c r="S1" s="25" t="s">
        <v>204</v>
      </c>
    </row>
    <row r="2" spans="1:19" ht="15.75" thickTop="1" x14ac:dyDescent="0.25">
      <c r="A2" s="19" t="s">
        <v>209</v>
      </c>
      <c r="B2" s="20" t="s">
        <v>282</v>
      </c>
      <c r="C2" s="19"/>
      <c r="D2" s="19"/>
      <c r="E2" s="19" t="s">
        <v>212</v>
      </c>
      <c r="F2" s="19" t="s">
        <v>214</v>
      </c>
      <c r="G2" s="19"/>
      <c r="H2" s="19"/>
      <c r="I2" s="19">
        <v>1</v>
      </c>
      <c r="J2" s="19"/>
      <c r="K2" s="19"/>
      <c r="L2" s="19"/>
      <c r="M2" s="19"/>
      <c r="N2" s="19" t="s">
        <v>90</v>
      </c>
      <c r="O2" s="19" t="s">
        <v>90</v>
      </c>
      <c r="P2" s="19"/>
      <c r="Q2" s="19"/>
      <c r="R2" s="19"/>
      <c r="S2" s="20" t="s">
        <v>246</v>
      </c>
    </row>
    <row r="3" spans="1:19" x14ac:dyDescent="0.25">
      <c r="A3" s="21"/>
      <c r="B3" s="22" t="s">
        <v>283</v>
      </c>
      <c r="C3" s="21"/>
      <c r="D3" s="21"/>
      <c r="E3" s="21" t="s">
        <v>211</v>
      </c>
      <c r="F3" s="21" t="s">
        <v>215</v>
      </c>
      <c r="G3" s="21"/>
      <c r="H3" s="21"/>
      <c r="I3" s="21">
        <v>2</v>
      </c>
      <c r="J3" s="21"/>
      <c r="K3" s="21"/>
      <c r="L3" s="21"/>
      <c r="M3" s="21"/>
      <c r="N3" s="21" t="s">
        <v>91</v>
      </c>
      <c r="O3" s="21" t="s">
        <v>91</v>
      </c>
      <c r="P3" s="21"/>
      <c r="Q3" s="21"/>
      <c r="R3" s="21"/>
      <c r="S3" s="22" t="s">
        <v>257</v>
      </c>
    </row>
    <row r="4" spans="1:19" x14ac:dyDescent="0.25">
      <c r="A4" s="19"/>
      <c r="B4" s="20" t="s">
        <v>284</v>
      </c>
      <c r="C4" s="19"/>
      <c r="D4" s="19"/>
      <c r="E4" s="19" t="s">
        <v>213</v>
      </c>
      <c r="F4" s="19" t="s">
        <v>216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20"/>
    </row>
    <row r="5" spans="1:19" x14ac:dyDescent="0.25">
      <c r="A5" s="21"/>
      <c r="B5" s="22"/>
      <c r="C5" s="21"/>
      <c r="D5" s="21"/>
      <c r="E5" s="21" t="s">
        <v>214</v>
      </c>
      <c r="F5" s="21" t="s">
        <v>217</v>
      </c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2"/>
    </row>
    <row r="6" spans="1:19" x14ac:dyDescent="0.25">
      <c r="A6" s="19"/>
      <c r="B6" s="20"/>
      <c r="C6" s="19"/>
      <c r="D6" s="19"/>
      <c r="E6" s="19" t="s">
        <v>215</v>
      </c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20"/>
    </row>
    <row r="7" spans="1:19" x14ac:dyDescent="0.25">
      <c r="A7" s="21"/>
      <c r="B7" s="22"/>
      <c r="C7" s="21"/>
      <c r="D7" s="21"/>
      <c r="E7" s="21" t="s">
        <v>216</v>
      </c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2"/>
    </row>
    <row r="8" spans="1:19" x14ac:dyDescent="0.25">
      <c r="A8" s="19"/>
      <c r="B8" s="20"/>
      <c r="C8" s="19"/>
      <c r="D8" s="19"/>
      <c r="E8" s="19" t="s">
        <v>217</v>
      </c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20"/>
    </row>
    <row r="9" spans="1:19" x14ac:dyDescent="0.25">
      <c r="A9" s="21"/>
      <c r="B9" s="22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2"/>
    </row>
    <row r="10" spans="1:19" x14ac:dyDescent="0.25">
      <c r="A10" s="19"/>
      <c r="B10" s="20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20"/>
    </row>
    <row r="11" spans="1:19" x14ac:dyDescent="0.25">
      <c r="A11" s="21"/>
      <c r="B11" s="22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2"/>
    </row>
    <row r="12" spans="1:19" x14ac:dyDescent="0.25">
      <c r="A12" s="19"/>
      <c r="B12" s="20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</row>
    <row r="13" spans="1:19" x14ac:dyDescent="0.25">
      <c r="A13" s="21"/>
      <c r="B13" s="22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2"/>
    </row>
    <row r="14" spans="1:19" x14ac:dyDescent="0.25">
      <c r="A14" s="19"/>
      <c r="B14" s="20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20"/>
    </row>
    <row r="15" spans="1:19" x14ac:dyDescent="0.25">
      <c r="A15" s="21"/>
      <c r="B15" s="22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2"/>
    </row>
    <row r="16" spans="1:19" x14ac:dyDescent="0.25">
      <c r="A16" s="19"/>
      <c r="B16" s="20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20"/>
    </row>
    <row r="17" spans="1:19" x14ac:dyDescent="0.25">
      <c r="A17" s="23"/>
      <c r="B17" s="24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4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6D4D3-266D-4E96-9562-979FF54822FD}">
  <sheetPr codeName="Sheet9"/>
  <dimension ref="A1:W29"/>
  <sheetViews>
    <sheetView workbookViewId="0">
      <selection activeCell="R9" sqref="R9"/>
    </sheetView>
  </sheetViews>
  <sheetFormatPr defaultRowHeight="15" x14ac:dyDescent="0.25"/>
  <cols>
    <col min="1" max="1" width="17.5703125" customWidth="1"/>
    <col min="2" max="2" width="21" hidden="1" customWidth="1"/>
    <col min="3" max="3" width="16.5703125" hidden="1" customWidth="1"/>
    <col min="4" max="4" width="27.140625" hidden="1" customWidth="1"/>
    <col min="5" max="5" width="13.85546875" customWidth="1"/>
    <col min="7" max="7" width="14.5703125" hidden="1" customWidth="1"/>
    <col min="9" max="10" width="0" hidden="1" customWidth="1"/>
    <col min="11" max="11" width="14.5703125" customWidth="1"/>
    <col min="12" max="12" width="17" customWidth="1"/>
    <col min="13" max="13" width="16.140625" hidden="1" customWidth="1"/>
    <col min="14" max="14" width="16.140625" customWidth="1"/>
    <col min="15" max="15" width="12.28515625" hidden="1" customWidth="1"/>
    <col min="16" max="16" width="11.7109375" customWidth="1"/>
    <col min="17" max="17" width="12.5703125" customWidth="1"/>
    <col min="18" max="18" width="14.140625" customWidth="1"/>
    <col min="19" max="19" width="12.5703125" customWidth="1"/>
    <col min="20" max="20" width="14.7109375" hidden="1" customWidth="1"/>
    <col min="21" max="21" width="8.7109375" hidden="1" customWidth="1"/>
    <col min="22" max="23" width="0" hidden="1" customWidth="1"/>
  </cols>
  <sheetData>
    <row r="1" spans="1:23" ht="16.5" thickTop="1" thickBot="1" x14ac:dyDescent="0.3">
      <c r="A1" s="25" t="s">
        <v>1</v>
      </c>
      <c r="B1" s="25" t="s">
        <v>218</v>
      </c>
      <c r="C1" s="25" t="s">
        <v>200</v>
      </c>
      <c r="D1" s="25" t="s">
        <v>201</v>
      </c>
      <c r="E1" s="25" t="s">
        <v>219</v>
      </c>
      <c r="F1" s="25" t="s">
        <v>220</v>
      </c>
      <c r="G1" s="25" t="s">
        <v>221</v>
      </c>
      <c r="H1" s="25" t="s">
        <v>222</v>
      </c>
      <c r="I1" s="25" t="s">
        <v>7</v>
      </c>
      <c r="J1" s="25" t="s">
        <v>20</v>
      </c>
      <c r="K1" s="25" t="s">
        <v>8</v>
      </c>
      <c r="L1" s="25" t="s">
        <v>9</v>
      </c>
      <c r="M1" s="25" t="s">
        <v>223</v>
      </c>
      <c r="N1" s="25" t="s">
        <v>245</v>
      </c>
      <c r="O1" s="25" t="s">
        <v>224</v>
      </c>
      <c r="P1" s="25" t="s">
        <v>225</v>
      </c>
      <c r="Q1" s="25" t="s">
        <v>227</v>
      </c>
      <c r="R1" s="25" t="s">
        <v>228</v>
      </c>
      <c r="S1" s="25" t="s">
        <v>229</v>
      </c>
      <c r="T1" s="25" t="s">
        <v>14</v>
      </c>
      <c r="U1" s="25" t="s">
        <v>61</v>
      </c>
      <c r="V1" s="25" t="s">
        <v>205</v>
      </c>
      <c r="W1" s="25" t="s">
        <v>15</v>
      </c>
    </row>
    <row r="2" spans="1:23" ht="15.75" thickTop="1" x14ac:dyDescent="0.25">
      <c r="A2" t="s">
        <v>230</v>
      </c>
      <c r="E2" t="s">
        <v>210</v>
      </c>
      <c r="F2" t="s">
        <v>214</v>
      </c>
      <c r="H2" t="s">
        <v>90</v>
      </c>
      <c r="K2" t="s">
        <v>90</v>
      </c>
      <c r="L2" t="s">
        <v>90</v>
      </c>
      <c r="N2" t="s">
        <v>90</v>
      </c>
      <c r="P2">
        <v>1</v>
      </c>
      <c r="Q2" t="s">
        <v>246</v>
      </c>
      <c r="R2" t="s">
        <v>247</v>
      </c>
      <c r="S2" t="s">
        <v>254</v>
      </c>
    </row>
    <row r="3" spans="1:23" x14ac:dyDescent="0.25">
      <c r="A3" t="s">
        <v>231</v>
      </c>
      <c r="E3" t="s">
        <v>211</v>
      </c>
      <c r="F3" t="s">
        <v>215</v>
      </c>
      <c r="H3" t="s">
        <v>91</v>
      </c>
      <c r="K3" t="s">
        <v>91</v>
      </c>
      <c r="L3" t="s">
        <v>91</v>
      </c>
      <c r="N3" t="s">
        <v>91</v>
      </c>
      <c r="P3">
        <v>2</v>
      </c>
      <c r="Q3" t="s">
        <v>248</v>
      </c>
      <c r="R3" t="s">
        <v>250</v>
      </c>
      <c r="S3" t="s">
        <v>255</v>
      </c>
    </row>
    <row r="4" spans="1:23" x14ac:dyDescent="0.25">
      <c r="A4" t="s">
        <v>232</v>
      </c>
      <c r="E4" t="s">
        <v>240</v>
      </c>
      <c r="F4" t="s">
        <v>216</v>
      </c>
      <c r="P4">
        <v>3</v>
      </c>
      <c r="Q4" t="s">
        <v>247</v>
      </c>
      <c r="R4" t="s">
        <v>251</v>
      </c>
      <c r="S4" t="s">
        <v>256</v>
      </c>
    </row>
    <row r="5" spans="1:23" x14ac:dyDescent="0.25">
      <c r="A5" t="s">
        <v>233</v>
      </c>
      <c r="E5" t="s">
        <v>214</v>
      </c>
      <c r="F5" t="s">
        <v>217</v>
      </c>
      <c r="P5">
        <v>4</v>
      </c>
      <c r="Q5" t="s">
        <v>249</v>
      </c>
      <c r="R5" t="s">
        <v>252</v>
      </c>
    </row>
    <row r="6" spans="1:23" x14ac:dyDescent="0.25">
      <c r="A6" t="s">
        <v>69</v>
      </c>
      <c r="E6" t="s">
        <v>215</v>
      </c>
      <c r="F6" t="s">
        <v>244</v>
      </c>
      <c r="P6">
        <v>5</v>
      </c>
      <c r="R6" t="s">
        <v>246</v>
      </c>
    </row>
    <row r="7" spans="1:23" x14ac:dyDescent="0.25">
      <c r="A7" t="s">
        <v>37</v>
      </c>
      <c r="E7" t="s">
        <v>216</v>
      </c>
      <c r="F7" t="s">
        <v>291</v>
      </c>
      <c r="P7">
        <v>6</v>
      </c>
      <c r="R7" t="s">
        <v>253</v>
      </c>
    </row>
    <row r="8" spans="1:23" x14ac:dyDescent="0.25">
      <c r="A8" t="s">
        <v>35</v>
      </c>
      <c r="E8" t="s">
        <v>217</v>
      </c>
      <c r="P8">
        <v>7</v>
      </c>
      <c r="R8" t="s">
        <v>294</v>
      </c>
    </row>
    <row r="9" spans="1:23" x14ac:dyDescent="0.25">
      <c r="A9" t="s">
        <v>40</v>
      </c>
      <c r="E9" t="s">
        <v>241</v>
      </c>
      <c r="P9">
        <v>8</v>
      </c>
    </row>
    <row r="10" spans="1:23" x14ac:dyDescent="0.25">
      <c r="A10" t="s">
        <v>39</v>
      </c>
      <c r="E10" t="s">
        <v>242</v>
      </c>
      <c r="P10">
        <v>9</v>
      </c>
    </row>
    <row r="11" spans="1:23" x14ac:dyDescent="0.25">
      <c r="A11" t="s">
        <v>38</v>
      </c>
      <c r="E11" t="s">
        <v>243</v>
      </c>
      <c r="P11">
        <v>10</v>
      </c>
    </row>
    <row r="12" spans="1:23" x14ac:dyDescent="0.25">
      <c r="A12" t="s">
        <v>234</v>
      </c>
      <c r="P12">
        <v>11</v>
      </c>
    </row>
    <row r="13" spans="1:23" x14ac:dyDescent="0.25">
      <c r="A13" t="s">
        <v>235</v>
      </c>
      <c r="P13">
        <v>12</v>
      </c>
    </row>
    <row r="14" spans="1:23" x14ac:dyDescent="0.25">
      <c r="A14" t="s">
        <v>236</v>
      </c>
      <c r="P14">
        <v>13</v>
      </c>
    </row>
    <row r="15" spans="1:23" x14ac:dyDescent="0.25">
      <c r="A15" t="s">
        <v>237</v>
      </c>
      <c r="P15">
        <v>14</v>
      </c>
    </row>
    <row r="16" spans="1:23" x14ac:dyDescent="0.25">
      <c r="A16" t="s">
        <v>238</v>
      </c>
      <c r="P16">
        <v>15</v>
      </c>
    </row>
    <row r="17" spans="1:16" x14ac:dyDescent="0.25">
      <c r="A17" t="s">
        <v>239</v>
      </c>
      <c r="P17">
        <v>16</v>
      </c>
    </row>
    <row r="18" spans="1:16" x14ac:dyDescent="0.25">
      <c r="P18">
        <v>17</v>
      </c>
    </row>
    <row r="19" spans="1:16" x14ac:dyDescent="0.25">
      <c r="P19">
        <v>18</v>
      </c>
    </row>
    <row r="20" spans="1:16" x14ac:dyDescent="0.25">
      <c r="P20">
        <v>19</v>
      </c>
    </row>
    <row r="21" spans="1:16" x14ac:dyDescent="0.25">
      <c r="P21">
        <v>20</v>
      </c>
    </row>
    <row r="22" spans="1:16" x14ac:dyDescent="0.25">
      <c r="P22">
        <v>21</v>
      </c>
    </row>
    <row r="23" spans="1:16" x14ac:dyDescent="0.25">
      <c r="P23">
        <v>22</v>
      </c>
    </row>
    <row r="24" spans="1:16" x14ac:dyDescent="0.25">
      <c r="P24">
        <v>23</v>
      </c>
    </row>
    <row r="25" spans="1:16" x14ac:dyDescent="0.25">
      <c r="P25">
        <v>24</v>
      </c>
    </row>
    <row r="26" spans="1:16" x14ac:dyDescent="0.25">
      <c r="P26">
        <v>25</v>
      </c>
    </row>
    <row r="27" spans="1:16" x14ac:dyDescent="0.25">
      <c r="P27">
        <v>26</v>
      </c>
    </row>
    <row r="28" spans="1:16" x14ac:dyDescent="0.25">
      <c r="P28">
        <v>27</v>
      </c>
    </row>
    <row r="29" spans="1:16" x14ac:dyDescent="0.25">
      <c r="P29">
        <v>28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45D7D-2793-4727-95F8-F275B3D5960F}">
  <sheetPr codeName="Sheet10"/>
  <dimension ref="A1:M11"/>
  <sheetViews>
    <sheetView workbookViewId="0">
      <selection activeCell="H10" sqref="H10"/>
    </sheetView>
  </sheetViews>
  <sheetFormatPr defaultRowHeight="15" x14ac:dyDescent="0.25"/>
  <cols>
    <col min="1" max="1" width="16.140625" customWidth="1"/>
    <col min="2" max="2" width="13.5703125" customWidth="1"/>
    <col min="3" max="3" width="12.85546875" customWidth="1"/>
    <col min="4" max="4" width="14.28515625" customWidth="1"/>
    <col min="5" max="5" width="13.7109375" customWidth="1"/>
    <col min="6" max="6" width="16.7109375" customWidth="1"/>
    <col min="7" max="7" width="18.140625" customWidth="1"/>
    <col min="8" max="8" width="17.85546875" customWidth="1"/>
    <col min="9" max="9" width="17.140625" customWidth="1"/>
    <col min="10" max="10" width="13.42578125" customWidth="1"/>
    <col min="11" max="11" width="13" customWidth="1"/>
    <col min="12" max="12" width="15" customWidth="1"/>
    <col min="13" max="13" width="15.85546875" customWidth="1"/>
    <col min="14" max="14" width="18.42578125" customWidth="1"/>
    <col min="15" max="15" width="23.140625" customWidth="1"/>
  </cols>
  <sheetData>
    <row r="1" spans="1:13" ht="16.5" thickTop="1" thickBot="1" x14ac:dyDescent="0.3">
      <c r="A1" s="25" t="s">
        <v>1</v>
      </c>
      <c r="B1" s="25" t="s">
        <v>218</v>
      </c>
      <c r="C1" s="25" t="s">
        <v>200</v>
      </c>
      <c r="D1" s="25" t="s">
        <v>226</v>
      </c>
      <c r="E1" s="25" t="s">
        <v>201</v>
      </c>
      <c r="F1" s="25" t="s">
        <v>259</v>
      </c>
      <c r="G1" s="25" t="s">
        <v>219</v>
      </c>
      <c r="H1" s="25" t="s">
        <v>220</v>
      </c>
      <c r="I1" s="25" t="s">
        <v>341</v>
      </c>
      <c r="J1" s="25" t="s">
        <v>7</v>
      </c>
      <c r="K1" s="25" t="s">
        <v>258</v>
      </c>
      <c r="L1" s="25" t="s">
        <v>20</v>
      </c>
      <c r="M1" s="25" t="s">
        <v>207</v>
      </c>
    </row>
    <row r="2" spans="1:13" ht="15.75" thickTop="1" x14ac:dyDescent="0.25">
      <c r="A2" t="s">
        <v>265</v>
      </c>
      <c r="D2" t="s">
        <v>260</v>
      </c>
      <c r="G2" t="s">
        <v>210</v>
      </c>
      <c r="H2" t="s">
        <v>214</v>
      </c>
    </row>
    <row r="3" spans="1:13" x14ac:dyDescent="0.25">
      <c r="A3" t="s">
        <v>233</v>
      </c>
      <c r="D3" t="s">
        <v>261</v>
      </c>
      <c r="G3" t="s">
        <v>211</v>
      </c>
      <c r="H3" t="s">
        <v>215</v>
      </c>
    </row>
    <row r="4" spans="1:13" x14ac:dyDescent="0.25">
      <c r="A4" t="s">
        <v>266</v>
      </c>
      <c r="D4" t="s">
        <v>262</v>
      </c>
      <c r="G4" t="s">
        <v>240</v>
      </c>
      <c r="H4" t="s">
        <v>216</v>
      </c>
    </row>
    <row r="5" spans="1:13" x14ac:dyDescent="0.25">
      <c r="A5" t="s">
        <v>267</v>
      </c>
      <c r="D5" t="s">
        <v>263</v>
      </c>
      <c r="G5" t="s">
        <v>214</v>
      </c>
      <c r="H5" t="s">
        <v>217</v>
      </c>
    </row>
    <row r="6" spans="1:13" x14ac:dyDescent="0.25">
      <c r="A6" t="s">
        <v>351</v>
      </c>
      <c r="D6" t="s">
        <v>264</v>
      </c>
      <c r="G6" t="s">
        <v>215</v>
      </c>
      <c r="H6" t="s">
        <v>241</v>
      </c>
    </row>
    <row r="7" spans="1:13" x14ac:dyDescent="0.25">
      <c r="D7" t="s">
        <v>352</v>
      </c>
      <c r="G7" t="s">
        <v>216</v>
      </c>
      <c r="H7" t="s">
        <v>242</v>
      </c>
    </row>
    <row r="8" spans="1:13" x14ac:dyDescent="0.25">
      <c r="G8" t="s">
        <v>217</v>
      </c>
      <c r="H8" t="s">
        <v>243</v>
      </c>
    </row>
    <row r="9" spans="1:13" x14ac:dyDescent="0.25">
      <c r="G9" t="s">
        <v>241</v>
      </c>
      <c r="H9" t="s">
        <v>357</v>
      </c>
    </row>
    <row r="10" spans="1:13" x14ac:dyDescent="0.25">
      <c r="G10" t="s">
        <v>242</v>
      </c>
    </row>
    <row r="11" spans="1:13" x14ac:dyDescent="0.25">
      <c r="G11" t="s">
        <v>243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E8044-F314-4A6A-8865-AE0FDD0495CD}">
  <dimension ref="A1"/>
  <sheetViews>
    <sheetView tabSelected="1" workbookViewId="0">
      <selection activeCell="Q28" sqref="Q28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6E5A8-C75D-4970-9F8A-E2BD80E6CBFC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2B81D-23B5-4509-907D-FBAF2DA447EE}">
  <dimension ref="A1"/>
  <sheetViews>
    <sheetView workbookViewId="0"/>
  </sheetViews>
  <sheetFormatPr defaultRowHeight="15" x14ac:dyDescent="0.25"/>
  <sheetData>
    <row r="1" spans="1:1" x14ac:dyDescent="0.25">
      <c r="A1" s="66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50bb0be-fc79-4cd1-b4d7-b2f921ae9564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0E1065E28FAF499C4A338527CB0C6A" ma:contentTypeVersion="16" ma:contentTypeDescription="Create a new document." ma:contentTypeScope="" ma:versionID="e59bd797201e8fdf2283a620e5a014b4">
  <xsd:schema xmlns:xsd="http://www.w3.org/2001/XMLSchema" xmlns:xs="http://www.w3.org/2001/XMLSchema" xmlns:p="http://schemas.microsoft.com/office/2006/metadata/properties" xmlns:ns3="4585bb22-7db2-458a-844a-e69f7ca9847f" xmlns:ns4="a50bb0be-fc79-4cd1-b4d7-b2f921ae9564" targetNamespace="http://schemas.microsoft.com/office/2006/metadata/properties" ma:root="true" ma:fieldsID="a76d9ff8549507577d24fa38b0160062" ns3:_="" ns4:_="">
    <xsd:import namespace="4585bb22-7db2-458a-844a-e69f7ca9847f"/>
    <xsd:import namespace="a50bb0be-fc79-4cd1-b4d7-b2f921ae956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ServiceObjectDetectorVersions" minOccurs="0"/>
                <xsd:element ref="ns4:MediaServiceLocation" minOccurs="0"/>
                <xsd:element ref="ns4:MediaServiceSystemTag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85bb22-7db2-458a-844a-e69f7ca9847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0bb0be-fc79-4cd1-b4d7-b2f921ae95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786AB15-D6E4-45D9-A977-FE3C90D29CA8}">
  <ds:schemaRefs>
    <ds:schemaRef ds:uri="http://purl.org/dc/dcmitype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4585bb22-7db2-458a-844a-e69f7ca9847f"/>
    <ds:schemaRef ds:uri="http://schemas.openxmlformats.org/package/2006/metadata/core-properties"/>
    <ds:schemaRef ds:uri="a50bb0be-fc79-4cd1-b4d7-b2f921ae9564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1D4715B-2A5F-4786-AA18-F36628A0D7E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03416D9-ECFA-4C67-A55E-1C17E54294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585bb22-7db2-458a-844a-e69f7ca9847f"/>
    <ds:schemaRef ds:uri="a50bb0be-fc79-4cd1-b4d7-b2f921ae95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3C7FC94-B9C3-474A-AC11-B9CD96DA53B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README</vt:lpstr>
      <vt:lpstr>CALC</vt:lpstr>
      <vt:lpstr>LED Tape Data</vt:lpstr>
      <vt:lpstr>PSU Data</vt:lpstr>
      <vt:lpstr>CTRLR Data</vt:lpstr>
      <vt:lpstr>Sheet4</vt:lpstr>
      <vt:lpstr>GEN Data</vt:lpstr>
      <vt:lpstr>led_tape.drop</vt:lpstr>
      <vt:lpstr>psu_data.drop</vt:lpstr>
      <vt:lpstr>ctrlr.drop</vt:lpstr>
      <vt:lpstr>gen_db.drop</vt:lpstr>
      <vt:lpstr>led_py_db</vt:lpstr>
      <vt:lpstr>psu_py_db</vt:lpstr>
      <vt:lpstr>ctrlr_py_db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Ransdell</dc:creator>
  <cp:lastModifiedBy>Tyler Ransdell</cp:lastModifiedBy>
  <dcterms:created xsi:type="dcterms:W3CDTF">2025-10-17T01:01:53Z</dcterms:created>
  <dcterms:modified xsi:type="dcterms:W3CDTF">2025-12-09T21:59:24Z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0x010100C90E1065E28FAF499C4A338527CB0C6A</vt:lpwstr>
  </property>
</Properties>
</file>